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KPI Dashboard" sheetId="1" state="visible" r:id="rId1"/>
    <sheet xmlns:r="http://schemas.openxmlformats.org/officeDocument/2006/relationships" name="Load Test Plan" sheetId="2" state="visible" r:id="rId2"/>
    <sheet xmlns:r="http://schemas.openxmlformats.org/officeDocument/2006/relationships" name="Load Test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0&quot;%&quot;"/>
    <numFmt numFmtId="166" formatCode="0.0000"/>
    <numFmt numFmtId="167" formatCode="0.000"/>
    <numFmt numFmtId="168" formatCode="0.0%"/>
    <numFmt numFmtId="169" formatCode="0.0&quot; min&quot;"/>
    <numFmt numFmtId="170" formatCode="#,##0&quot; pods max&quot;"/>
    <numFmt numFmtId="171" formatCode="#,##0&quot; devices max&quot;"/>
    <numFmt numFmtId="172" formatCode="#,##0&quot; msg/s peak&quot;"/>
    <numFmt numFmtId="173" formatCode="#,##0.0&quot; msg/s avg&quot;"/>
    <numFmt numFmtId="174" formatCode="0.0"/>
    <numFmt numFmtId="175" formatCode="0.0&quot;s&quot;"/>
    <numFmt numFmtId="176" formatCode="0.0000&quot;s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97D"/>
      <sz val="16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002060"/>
      <sz val="11"/>
    </font>
    <font>
      <name val="Calibri"/>
      <sz val="11"/>
    </font>
    <font>
      <name val="Calibri"/>
      <b val="1"/>
      <sz val="11"/>
    </font>
    <font>
      <name val="Calibri"/>
      <b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8" fillId="0" borderId="1" pivotButton="0" quotePrefix="0" xfId="0"/>
    <xf numFmtId="174" fontId="5" fillId="0" borderId="1" applyAlignment="1" pivotButton="0" quotePrefix="0" xfId="0">
      <alignment horizontal="right"/>
    </xf>
    <xf numFmtId="175" fontId="5" fillId="0" borderId="1" applyAlignment="1" pivotButton="0" quotePrefix="0" xfId="0">
      <alignment horizontal="right"/>
    </xf>
    <xf numFmtId="1" fontId="5" fillId="0" borderId="1" applyAlignment="1" pivotButton="0" quotePrefix="0" xfId="0">
      <alignment horizontal="right"/>
    </xf>
    <xf numFmtId="168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2" fontId="5" fillId="0" borderId="1" applyAlignment="1" pivotButton="0" quotePrefix="0" xfId="0">
      <alignment horizontal="right"/>
    </xf>
    <xf numFmtId="10" fontId="5" fillId="0" borderId="1" applyAlignment="1" pivotButton="0" quotePrefix="0" xfId="0">
      <alignment horizontal="right"/>
    </xf>
    <xf numFmtId="176" fontId="5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/>
    </xf>
    <xf numFmtId="169" fontId="7" fillId="0" borderId="2" applyAlignment="1" pivotButton="0" quotePrefix="0" xfId="0">
      <alignment horizontal="right" vertical="center"/>
    </xf>
    <xf numFmtId="170" fontId="7" fillId="0" borderId="2" applyAlignment="1" pivotButton="0" quotePrefix="0" xfId="0">
      <alignment horizontal="right" vertical="center"/>
    </xf>
    <xf numFmtId="171" fontId="7" fillId="0" borderId="2" applyAlignment="1" pivotButton="0" quotePrefix="0" xfId="0">
      <alignment horizontal="right" vertical="center"/>
    </xf>
    <xf numFmtId="172" fontId="7" fillId="0" borderId="2" applyAlignment="1" pivotButton="0" quotePrefix="0" xfId="0">
      <alignment horizontal="right" vertical="center"/>
    </xf>
    <xf numFmtId="173" fontId="7" fillId="0" borderId="2" applyAlignment="1" pivotButton="0" quotePrefix="0" xfId="0">
      <alignment horizontal="right" vertical="center"/>
    </xf>
    <xf numFmtId="168" fontId="7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1. Autoscaling Tracking: Delivered Throughput vs Replicas</a:t>
            </a:r>
          </a:p>
        </rich>
      </tx>
    </title>
    <plotArea>
      <lineChart>
        <grouping val="standard"/>
        <ser>
          <idx val="0"/>
          <order val="0"/>
          <tx>
            <strRef>
              <f>'Load Test Metrics'!C1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Test Metrics'!$A$2:$A$136</f>
            </numRef>
          </cat>
          <val>
            <numRef>
              <f>'Load Test Metrics'!$C$2:$C$136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'Load Test Metrics'!B1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'Load Test Metrics'!$B$2:$B$136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(UTC)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Throughput (msg/s)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Pod Replicas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2. SLA Quality &amp; Stability: Delivery Rate (%) vs P90 Latency (s)</a:t>
            </a:r>
          </a:p>
        </rich>
      </tx>
    </title>
    <plotArea>
      <lineChart>
        <grouping val="standard"/>
        <ser>
          <idx val="0"/>
          <order val="0"/>
          <tx>
            <strRef>
              <f>'Load Test Metrics'!F1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Test Metrics'!$A$2:$A$136</f>
            </numRef>
          </cat>
          <val>
            <numRef>
              <f>'Load Test Metrics'!$F$2:$F$136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'Load Test Metrics'!G1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'Load Test Metrics'!$G$2:$G$136</f>
            </numRef>
          </val>
        </ser>
        <axId val="10"/>
        <axId val="201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(UTC)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Delivery Rate (%)</a:t>
                </a:r>
              </a:p>
            </rich>
          </tx>
        </title>
        <majorTickMark val="none"/>
        <minorTickMark val="none"/>
        <crossAx val="10"/>
      </valAx>
      <valAx>
        <axId val="201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P90 Latency (seconds)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3. Saturation &amp; Queueing: Delivered vs Undelivered Throughput</a:t>
            </a:r>
          </a:p>
        </rich>
      </tx>
    </title>
    <plotArea>
      <lineChart>
        <grouping val="standard"/>
        <ser>
          <idx val="0"/>
          <order val="0"/>
          <tx>
            <strRef>
              <f>'Load Test Metrics'!C1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Test Metrics'!$A$2:$A$136</f>
            </numRef>
          </cat>
          <val>
            <numRef>
              <f>'Load Test Metrics'!$C$2:$C$136</f>
            </numRef>
          </val>
        </ser>
        <ser>
          <idx val="1"/>
          <order val="1"/>
          <tx>
            <strRef>
              <f>'Load Test Metrics'!E1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Test Metrics'!$A$2:$A$136</f>
            </numRef>
          </cat>
          <val>
            <numRef>
              <f>'Load Test Metrics'!$E$2:$E$136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(UTC)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Message Rate (msg/s)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4. Resource Footprint: Aggregate CPU Cores vs Memory (MiB)</a:t>
            </a:r>
          </a:p>
        </rich>
      </tx>
    </title>
    <plotArea>
      <lineChart>
        <grouping val="standard"/>
        <ser>
          <idx val="0"/>
          <order val="0"/>
          <tx>
            <strRef>
              <f>'Load Test Metrics'!H1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Test Metrics'!$A$2:$A$136</f>
            </numRef>
          </cat>
          <val>
            <numRef>
              <f>'Load Test Metrics'!$H$2:$H$136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'Load Test Metrics'!I1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'Load Test Metrics'!$I$2:$I$136</f>
            </numRef>
          </val>
        </ser>
        <axId val="10"/>
        <axId val="202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(UTC)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CPU Cores</a:t>
                </a:r>
              </a:p>
            </rich>
          </tx>
        </title>
        <majorTickMark val="none"/>
        <minorTickMark val="none"/>
        <crossAx val="10"/>
      </valAx>
      <valAx>
        <axId val="202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Memory (MiB)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5. Continuous Throughput Tracking: Expected Generation vs Actual Delivered (msg/s)</a:t>
            </a:r>
          </a:p>
        </rich>
      </tx>
    </title>
    <plotArea>
      <lineChart>
        <grouping val="standard"/>
        <ser>
          <idx val="0"/>
          <order val="0"/>
          <tx>
            <strRef>
              <f>'Load Test Metrics'!C1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Test Metrics'!$A$2:$A$136</f>
            </numRef>
          </cat>
          <val>
            <numRef>
              <f>'Load Test Metrics'!$C$2:$C$136</f>
            </numRef>
          </val>
        </ser>
        <ser>
          <idx val="1"/>
          <order val="1"/>
          <tx>
            <strRef>
              <f>'Load Test Metrics'!D1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Test Metrics'!$A$2:$A$136</f>
            </numRef>
          </cat>
          <val>
            <numRef>
              <f>'Load Test Metrics'!$D$2:$D$136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(UTC)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Message Throughput (msg/s)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1. Planned Workload: Simulated Clients (Devices) &amp; Message Rate per Step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'Load Test Plan'!E17</f>
            </strRef>
          </tx>
          <spPr>
            <a:ln xmlns:a="http://schemas.openxmlformats.org/drawingml/2006/main">
              <a:prstDash val="solid"/>
            </a:ln>
          </spPr>
          <cat>
            <numRef>
              <f>'Load Test Plan'!$B$18:$B$31</f>
            </numRef>
          </cat>
          <val>
            <numRef>
              <f>'Load Test Plan'!$E$18:$E$31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'Load Test Plan'!F17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'Load Test Plan'!$F$18:$F$31</f>
            </numRef>
          </val>
        </ser>
        <axId val="10"/>
        <axId val="3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Step / Phase Action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Simulated Clients / Devices</a:t>
                </a:r>
              </a:p>
            </rich>
          </tx>
        </title>
        <majorTickMark val="none"/>
        <minorTickMark val="none"/>
        <crossAx val="10"/>
      </valAx>
      <valAx>
        <axId val="3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 Throughput (msg/s)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2. Step Performance: Expected Generation vs Observed Delivered Throughput (msg/s)</a:t>
            </a:r>
          </a:p>
        </rich>
      </tx>
    </title>
    <plotArea>
      <lineChart>
        <grouping val="standard"/>
        <ser>
          <idx val="0"/>
          <order val="0"/>
          <tx>
            <strRef>
              <f>'Load Test Plan'!F17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Test Plan'!$B$18:$B$31</f>
            </numRef>
          </cat>
          <val>
            <numRef>
              <f>'Load Test Plan'!$F$18:$F$31</f>
            </numRef>
          </val>
        </ser>
        <ser>
          <idx val="1"/>
          <order val="1"/>
          <tx>
            <strRef>
              <f>'Load Test Plan'!G17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Test Plan'!$B$18:$B$31</f>
            </numRef>
          </cat>
          <val>
            <numRef>
              <f>'Load Test Plan'!$G$18:$G$31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Step / Phase Action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Message Throughput (msg/s)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68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26</row>
      <rowOff>0</rowOff>
    </from>
    <ext cx="68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15</row>
      <rowOff>0</rowOff>
    </from>
    <ext cx="684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38</row>
      <rowOff>0</rowOff>
    </from>
    <ext cx="684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49</row>
      <rowOff>0</rowOff>
    </from>
    <ext cx="684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34</row>
      <rowOff>0</rowOff>
    </from>
    <ext cx="68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34</row>
      <rowOff>0</rowOff>
    </from>
    <ext cx="68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2" customWidth="1" min="3" max="3"/>
    <col width="16" customWidth="1" min="4" max="4"/>
  </cols>
  <sheetData>
    <row r="1">
      <c r="A1" s="1" t="inlineStr">
        <is>
          <t>KEDA + HPA Baseline Autoscaler: 30-Minute Full Load Test Performance Evaluation</t>
        </is>
      </c>
    </row>
    <row r="2">
      <c r="A2" s="2" t="inlineStr">
        <is>
          <t>Evaluation Window: 11:51:55 - 12:25:25 UTC | Microservice: iotoccupancy-sample-mosquitto | Total Samples: 135</t>
        </is>
      </c>
    </row>
    <row r="4">
      <c r="A4" s="3" t="inlineStr">
        <is>
          <t>Key Performance Indicators (KPIs)</t>
        </is>
      </c>
      <c r="C4" s="3" t="inlineStr">
        <is>
          <t>SLA Compliance &amp; Reliability</t>
        </is>
      </c>
    </row>
    <row r="5">
      <c r="A5" s="4" t="inlineStr">
        <is>
          <t>Total Duration (min)</t>
        </is>
      </c>
      <c r="B5" s="5">
        <f>ROUND((ROW('Load Test Metrics'!A126)-2)*15/60, 1)</f>
        <v/>
      </c>
      <c r="C5" s="4" t="inlineStr">
        <is>
          <t>SLA Target Latency (P90)</t>
        </is>
      </c>
      <c r="D5" s="6" t="n">
        <v>1</v>
      </c>
    </row>
    <row r="6">
      <c r="A6" s="4" t="inlineStr">
        <is>
          <t>Min Replicas</t>
        </is>
      </c>
      <c r="B6" s="7">
        <f>MIN('Load Test Metrics'!B2:B136)</f>
        <v/>
      </c>
      <c r="C6" s="4" t="inlineStr">
        <is>
          <t>P90 Compliance (&lt;= 1.0s)</t>
        </is>
      </c>
      <c r="D6" s="8">
        <f>COUNTIF('Load Test Metrics'!G2:G136, "&lt;=1.0")/135</f>
        <v/>
      </c>
    </row>
    <row r="7">
      <c r="A7" s="4" t="inlineStr">
        <is>
          <t>Max Replicas</t>
        </is>
      </c>
      <c r="B7" s="7">
        <f>MAX('Load Test Metrics'!B2:B136)</f>
        <v/>
      </c>
      <c r="C7" s="4" t="inlineStr">
        <is>
          <t>Sub-500ms P90 (&lt;= 0.5s)</t>
        </is>
      </c>
      <c r="D7" s="8">
        <f>COUNTIF('Load Test Metrics'!G2:G136, "&lt;=0.5")/135</f>
        <v/>
      </c>
    </row>
    <row r="8">
      <c r="A8" s="4" t="inlineStr">
        <is>
          <t>Average Replicas</t>
        </is>
      </c>
      <c r="B8" s="5">
        <f>AVERAGE('Load Test Metrics'!B2:B136)</f>
        <v/>
      </c>
      <c r="C8" s="4" t="inlineStr">
        <is>
          <t>SLA Target Delivery Rate</t>
        </is>
      </c>
      <c r="D8" s="8" t="n">
        <v>0.95</v>
      </c>
    </row>
    <row r="9">
      <c r="A9" s="4" t="inlineStr">
        <is>
          <t>Peak Throughput (msg/s)</t>
        </is>
      </c>
      <c r="B9" s="9">
        <f>MAX('Load Test Metrics'!C2:C136)</f>
        <v/>
      </c>
      <c r="C9" s="4" t="inlineStr">
        <is>
          <t>Delivery Rate Compliance (&gt;=95%)</t>
        </is>
      </c>
      <c r="D9" s="8">
        <f>COUNTIF('Load Test Metrics'!F2:F136, "&gt;=95.0")/135</f>
        <v/>
      </c>
    </row>
    <row r="10">
      <c r="A10" s="4" t="inlineStr">
        <is>
          <t>Avg Throughput (msg/s)</t>
        </is>
      </c>
      <c r="B10" s="9">
        <f>AVERAGE('Load Test Metrics'!C2:C136)</f>
        <v/>
      </c>
      <c r="C10" s="4" t="inlineStr">
        <is>
          <t>Delivery Rate Compliance (&gt;=99%)</t>
        </is>
      </c>
      <c r="D10" s="8">
        <f>COUNTIF('Load Test Metrics'!F2:F136, "&gt;=99.0")/135</f>
        <v/>
      </c>
    </row>
    <row r="11">
      <c r="A11" s="4" t="inlineStr">
        <is>
          <t>Peak CPU Cores</t>
        </is>
      </c>
      <c r="B11" s="10">
        <f>MAX('Load Test Metrics'!H2:H136)</f>
        <v/>
      </c>
      <c r="C11" s="4" t="inlineStr">
        <is>
          <t>Overall Mean Delivery Rate</t>
        </is>
      </c>
      <c r="D11" s="11">
        <f>AVERAGE('Load Test Metrics'!F2:F136)/100</f>
        <v/>
      </c>
    </row>
    <row r="12">
      <c r="A12" s="4" t="inlineStr">
        <is>
          <t>Avg CPU Cores</t>
        </is>
      </c>
      <c r="B12" s="10">
        <f>AVERAGE('Load Test Metrics'!H2:H136)</f>
        <v/>
      </c>
      <c r="C12" s="4" t="inlineStr">
        <is>
          <t>Mean P90 Latency</t>
        </is>
      </c>
      <c r="D12" s="12">
        <f>AVERAGE('Load Test Metrics'!G2:G136)</f>
        <v/>
      </c>
    </row>
    <row r="13">
      <c r="A13" s="4" t="inlineStr">
        <is>
          <t>Peak Memory (MiB)</t>
        </is>
      </c>
      <c r="B13" s="9">
        <f>MAX('Load Test Metrics'!I2:I136)</f>
        <v/>
      </c>
      <c r="C13" s="4" t="inlineStr">
        <is>
          <t>Min Delivery Rate</t>
        </is>
      </c>
      <c r="D13" s="11">
        <f>MIN('Load Test Metrics'!F2:F136)/100</f>
        <v/>
      </c>
    </row>
    <row r="14">
      <c r="A14" s="4" t="inlineStr">
        <is>
          <t>Avg Memory (MiB)</t>
        </is>
      </c>
      <c r="B14" s="9">
        <f>AVERAGE('Load Test Metrics'!I2:I136)</f>
        <v/>
      </c>
      <c r="C14" s="4" t="inlineStr">
        <is>
          <t>Max P90 Latency</t>
        </is>
      </c>
      <c r="D14" s="12">
        <f>MAX('Load Test Metrics'!G2:G136)</f>
        <v/>
      </c>
    </row>
  </sheetData>
  <mergeCells count="2">
    <mergeCell ref="A4:B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2" customWidth="1" min="3" max="3"/>
    <col width="65" customWidth="1" min="4" max="4"/>
    <col width="26" customWidth="1" min="5" max="5"/>
    <col width="24" customWidth="1" min="6" max="6"/>
    <col width="26" customWidth="1" min="7" max="7"/>
    <col width="22" customWidth="1" min="8" max="8"/>
    <col width="26" customWidth="1" min="9" max="9"/>
    <col width="45" customWidth="1" min="10" max="10"/>
  </cols>
  <sheetData>
    <row r="1">
      <c r="A1" s="1" t="inlineStr">
        <is>
          <t>MQTT Load Testing Plan: Configuration &amp; Expected Traffic</t>
        </is>
      </c>
    </row>
    <row r="2">
      <c r="A2" s="2" t="inlineStr">
        <is>
          <t>Workload profile, client/device counts, message frequency, and expected throughput per phase.</t>
        </is>
      </c>
    </row>
    <row r="3"/>
    <row r="4">
      <c r="A4" s="13" t="inlineStr">
        <is>
          <t>1. Load Generator Pod Configuration (Per-Pod Parameters)</t>
        </is>
      </c>
    </row>
    <row r="5">
      <c r="A5" s="14" t="inlineStr">
        <is>
          <t>Parameter</t>
        </is>
      </c>
      <c r="B5" s="14" t="inlineStr">
        <is>
          <t>Environment Variable</t>
        </is>
      </c>
      <c r="C5" s="14" t="inlineStr">
        <is>
          <t>Configured Value</t>
        </is>
      </c>
      <c r="D5" s="14" t="inlineStr">
        <is>
          <t>Description / Impact</t>
        </is>
      </c>
    </row>
    <row r="6">
      <c r="A6" s="15" t="inlineStr">
        <is>
          <t>Devices / Clients per Pod</t>
        </is>
      </c>
      <c r="B6" s="15" t="inlineStr">
        <is>
          <t>NUM_CLIENTS</t>
        </is>
      </c>
      <c r="C6" s="16" t="n">
        <v>500</v>
      </c>
      <c r="D6" s="15" t="inlineStr">
        <is>
          <t>Simulated concurrent IoT devices per load tester pod</t>
        </is>
      </c>
    </row>
    <row r="7">
      <c r="A7" s="15" t="inlineStr">
        <is>
          <t>Publish Interval (s)</t>
        </is>
      </c>
      <c r="B7" s="15" t="inlineStr">
        <is>
          <t>MQTT_MESSAGE_FREQUENCY</t>
        </is>
      </c>
      <c r="C7" s="17" t="n">
        <v>0.5</v>
      </c>
      <c r="D7" s="15" t="inlineStr">
        <is>
          <t>Message interval per client (0.5s = 2 msgs/sec per client)</t>
        </is>
      </c>
    </row>
    <row r="8">
      <c r="A8" s="15" t="inlineStr">
        <is>
          <t>Message Rate per Client</t>
        </is>
      </c>
      <c r="B8" s="15" t="inlineStr">
        <is>
          <t>Formula: 1 / Interval</t>
        </is>
      </c>
      <c r="C8" s="17" t="n">
        <v>2</v>
      </c>
      <c r="D8" s="15" t="inlineStr">
        <is>
          <t>Messages generated per second per simulated device</t>
        </is>
      </c>
    </row>
    <row r="9">
      <c r="A9" s="15" t="inlineStr">
        <is>
          <t>Expected Throughput per Pod</t>
        </is>
      </c>
      <c r="B9" s="15" t="inlineStr">
        <is>
          <t>Formula: Clients * (1/Interval)</t>
        </is>
      </c>
      <c r="C9" s="17" t="n">
        <v>1000</v>
      </c>
      <c r="D9" s="15" t="inlineStr">
        <is>
          <t>Theoretical maximum message output per load-tester pod (msg/s)</t>
        </is>
      </c>
    </row>
    <row r="10">
      <c r="A10" s="15" t="inlineStr">
        <is>
          <t>Quality of Service (QoS)</t>
        </is>
      </c>
      <c r="B10" s="15" t="inlineStr">
        <is>
          <t>USE_QOS</t>
        </is>
      </c>
      <c r="C10" s="16" t="n">
        <v>2</v>
      </c>
      <c r="D10" s="15" t="inlineStr">
        <is>
          <t>MQTT QoS 2 (Exactly-once delivery with 4-step handshake)</t>
        </is>
      </c>
    </row>
    <row r="11">
      <c r="A11" s="15" t="inlineStr">
        <is>
          <t>Max In-Flight Messages</t>
        </is>
      </c>
      <c r="B11" s="15" t="inlineStr">
        <is>
          <t>MAX_INFLIGHT</t>
        </is>
      </c>
      <c r="C11" s="16" t="n">
        <v>20</v>
      </c>
      <c r="D11" s="15" t="inlineStr">
        <is>
          <t>Concurrent unacknowledged QoS 2 packets allowed per client</t>
        </is>
      </c>
    </row>
    <row r="12">
      <c r="A12" s="15" t="inlineStr">
        <is>
          <t>Payload Size Multiplier</t>
        </is>
      </c>
      <c r="B12" s="15" t="inlineStr">
        <is>
          <t>PAYLOAD_MULTIPLIER</t>
        </is>
      </c>
      <c r="C12" s="16" t="n">
        <v>1</v>
      </c>
      <c r="D12" s="15" t="inlineStr">
        <is>
          <t>Simulates standard multi-sensor JSON room telemetry</t>
        </is>
      </c>
    </row>
    <row r="13">
      <c r="A13" s="15" t="inlineStr">
        <is>
          <t>Target Broker Deployment</t>
        </is>
      </c>
      <c r="B13" s="15" t="inlineStr">
        <is>
          <t>DEPLOYMENT_NAME</t>
        </is>
      </c>
      <c r="C13" s="15" t="inlineStr">
        <is>
          <t>iotoccupancy-sample-mosquitto</t>
        </is>
      </c>
      <c r="D13" s="15" t="inlineStr">
        <is>
          <t>Mosquitto MQTT broker in namespace 'iotoccupancy'</t>
        </is>
      </c>
    </row>
    <row r="14"/>
    <row r="15"/>
    <row r="16">
      <c r="A16" s="13" t="inlineStr">
        <is>
          <t>2. Load Test Phases: Expected Clients &amp; Message Throughput vs Actual Performance</t>
        </is>
      </c>
    </row>
    <row r="17">
      <c r="A17" s="14" t="inlineStr">
        <is>
          <t>Phase Name</t>
        </is>
      </c>
      <c r="B17" s="14" t="inlineStr">
        <is>
          <t>Step / Action</t>
        </is>
      </c>
      <c r="C17" s="14" t="inlineStr">
        <is>
          <t>Duration (min)</t>
        </is>
      </c>
      <c r="D17" s="14" t="inlineStr">
        <is>
          <t>Load Pods</t>
        </is>
      </c>
      <c r="E17" s="14" t="inlineStr">
        <is>
          <t>Simulated Devices (Clients)</t>
        </is>
      </c>
      <c r="F17" s="14" t="inlineStr">
        <is>
          <t>Expected Generation (msg/s)</t>
        </is>
      </c>
      <c r="G17" s="14" t="inlineStr">
        <is>
          <t>Avg Observed Delivered (msg/s)</t>
        </is>
      </c>
      <c r="H17" s="14" t="inlineStr">
        <is>
          <t>Generation Efficiency (%)</t>
        </is>
      </c>
      <c r="I17" s="14" t="inlineStr">
        <is>
          <t>Observed Mosquitto Replicas</t>
        </is>
      </c>
      <c r="J17" s="14" t="inlineStr">
        <is>
          <t>Operational Observations</t>
        </is>
      </c>
    </row>
    <row r="18">
      <c r="A18" s="18" t="inlineStr">
        <is>
          <t>Phase 1: Ramp-Up</t>
        </is>
      </c>
      <c r="B18" s="18" t="inlineStr">
        <is>
          <t>Step 1: Baseline Load</t>
        </is>
      </c>
      <c r="C18" s="19" t="n">
        <v>1.25</v>
      </c>
      <c r="D18" s="16" t="n">
        <v>1</v>
      </c>
      <c r="E18" s="16">
        <f>D18*C6</f>
        <v/>
      </c>
      <c r="F18" s="17">
        <f>E18*C8</f>
        <v/>
      </c>
      <c r="G18" s="17">
        <f>AVERAGE('Load Test Metrics'!C2:C7)</f>
        <v/>
      </c>
      <c r="H18" s="20">
        <f>G18/F18</f>
        <v/>
      </c>
      <c r="I18" s="18" t="inlineStr">
        <is>
          <t>1 - 7</t>
        </is>
      </c>
      <c r="J18" s="15" t="inlineStr">
        <is>
          <t>Initial scale calibration, zero message drop (P90: 0.45s)</t>
        </is>
      </c>
    </row>
    <row r="19">
      <c r="A19" s="18" t="inlineStr">
        <is>
          <t>Phase 1: Ramp-Up</t>
        </is>
      </c>
      <c r="B19" s="18" t="inlineStr">
        <is>
          <t>Step 2: Moderate Load</t>
        </is>
      </c>
      <c r="C19" s="19" t="n">
        <v>1.25</v>
      </c>
      <c r="D19" s="16" t="n">
        <v>2</v>
      </c>
      <c r="E19" s="16">
        <f>D19*C6</f>
        <v/>
      </c>
      <c r="F19" s="17">
        <f>E19*C8</f>
        <v/>
      </c>
      <c r="G19" s="17">
        <f>AVERAGE('Load Test Metrics'!C7:C12)</f>
        <v/>
      </c>
      <c r="H19" s="20">
        <f>G19/F19</f>
        <v/>
      </c>
      <c r="I19" s="18" t="inlineStr">
        <is>
          <t>3 - 4</t>
        </is>
      </c>
      <c r="J19" s="15" t="inlineStr">
        <is>
          <t>Scaled smoothly to 3-4 pods (P90: 0.37s)</t>
        </is>
      </c>
    </row>
    <row r="20">
      <c r="A20" s="18" t="inlineStr">
        <is>
          <t>Phase 1: Ramp-Up</t>
        </is>
      </c>
      <c r="B20" s="18" t="inlineStr">
        <is>
          <t>Step 3: Medium Load</t>
        </is>
      </c>
      <c r="C20" s="19" t="n">
        <v>1.25</v>
      </c>
      <c r="D20" s="16" t="n">
        <v>4</v>
      </c>
      <c r="E20" s="16">
        <f>D20*C6</f>
        <v/>
      </c>
      <c r="F20" s="17">
        <f>E20*C8</f>
        <v/>
      </c>
      <c r="G20" s="17">
        <f>AVERAGE('Load Test Metrics'!C12:C17)</f>
        <v/>
      </c>
      <c r="H20" s="20">
        <f>G20/F20</f>
        <v/>
      </c>
      <c r="I20" s="18" t="inlineStr">
        <is>
          <t>3 - 4</t>
        </is>
      </c>
      <c r="J20" s="15" t="inlineStr">
        <is>
          <t>Stable throughput delivery; scaled to 4 pods</t>
        </is>
      </c>
    </row>
    <row r="21">
      <c r="A21" s="18" t="inlineStr">
        <is>
          <t>Phase 1: Ramp-Up</t>
        </is>
      </c>
      <c r="B21" s="18" t="inlineStr">
        <is>
          <t>Step 4: High Load</t>
        </is>
      </c>
      <c r="C21" s="19" t="n">
        <v>1.25</v>
      </c>
      <c r="D21" s="16" t="n">
        <v>6</v>
      </c>
      <c r="E21" s="16">
        <f>D21*C6</f>
        <v/>
      </c>
      <c r="F21" s="17">
        <f>E21*C8</f>
        <v/>
      </c>
      <c r="G21" s="17">
        <f>AVERAGE('Load Test Metrics'!C17:C22)</f>
        <v/>
      </c>
      <c r="H21" s="20">
        <f>G21/F21</f>
        <v/>
      </c>
      <c r="I21" s="18" t="inlineStr">
        <is>
          <t>4 - 6</t>
        </is>
      </c>
      <c r="J21" s="15" t="inlineStr">
        <is>
          <t>Scaled to 6 pods with sub-400ms latency</t>
        </is>
      </c>
    </row>
    <row r="22">
      <c r="A22" s="18" t="inlineStr">
        <is>
          <t>Phase 2: Spike 1</t>
        </is>
      </c>
      <c r="B22" s="18" t="inlineStr">
        <is>
          <t>Sustained Peak 1</t>
        </is>
      </c>
      <c r="C22" s="19" t="n">
        <v>5</v>
      </c>
      <c r="D22" s="16" t="n">
        <v>10</v>
      </c>
      <c r="E22" s="16">
        <f>D22*C6</f>
        <v/>
      </c>
      <c r="F22" s="17">
        <f>E22*C8</f>
        <v/>
      </c>
      <c r="G22" s="17">
        <f>AVERAGE('Load Test Metrics'!C22:C42)</f>
        <v/>
      </c>
      <c r="H22" s="20">
        <f>G22/F22</f>
        <v/>
      </c>
      <c r="I22" s="18" t="inlineStr">
        <is>
          <t>8 - 12</t>
        </is>
      </c>
      <c r="J22" s="15" t="inlineStr">
        <is>
          <t>Peaked at 5,414 msg/s, dynamically allocated 12 pods</t>
        </is>
      </c>
    </row>
    <row r="23">
      <c r="A23" s="18" t="inlineStr">
        <is>
          <t>Phase 3: Cool-Down 1</t>
        </is>
      </c>
      <c r="B23" s="18" t="inlineStr">
        <is>
          <t>Step 1: Step Down High</t>
        </is>
      </c>
      <c r="C23" s="19" t="n">
        <v>1.67</v>
      </c>
      <c r="D23" s="16" t="n">
        <v>6</v>
      </c>
      <c r="E23" s="16">
        <f>D23*C6</f>
        <v/>
      </c>
      <c r="F23" s="17">
        <f>E23*C8</f>
        <v/>
      </c>
      <c r="G23" s="17">
        <f>AVERAGE('Load Test Metrics'!C42:C49)</f>
        <v/>
      </c>
      <c r="H23" s="20">
        <f>G23/F23</f>
        <v/>
      </c>
      <c r="I23" s="18" t="inlineStr">
        <is>
          <t>10 - 12</t>
        </is>
      </c>
      <c r="J23" s="15" t="inlineStr">
        <is>
          <t>Autoscaler initiated gradual cool-down</t>
        </is>
      </c>
    </row>
    <row r="24">
      <c r="A24" s="18" t="inlineStr">
        <is>
          <t>Phase 3: Cool-Down 1</t>
        </is>
      </c>
      <c r="B24" s="18" t="inlineStr">
        <is>
          <t>Step 2: Step Down Medium</t>
        </is>
      </c>
      <c r="C24" s="19" t="n">
        <v>1.67</v>
      </c>
      <c r="D24" s="16" t="n">
        <v>4</v>
      </c>
      <c r="E24" s="16">
        <f>D24*C6</f>
        <v/>
      </c>
      <c r="F24" s="17">
        <f>E24*C8</f>
        <v/>
      </c>
      <c r="G24" s="17">
        <f>AVERAGE('Load Test Metrics'!C49:C55)</f>
        <v/>
      </c>
      <c r="H24" s="20">
        <f>G24/F24</f>
        <v/>
      </c>
      <c r="I24" s="18" t="inlineStr">
        <is>
          <t>8 - 10</t>
        </is>
      </c>
      <c r="J24" s="15" t="inlineStr">
        <is>
          <t>Scaled down to 8 pods, maintaining 99.8% delivery</t>
        </is>
      </c>
    </row>
    <row r="25">
      <c r="A25" s="18" t="inlineStr">
        <is>
          <t>Phase 3: Cool-Down 1</t>
        </is>
      </c>
      <c r="B25" s="18" t="inlineStr">
        <is>
          <t>Step 3: Step Down Low</t>
        </is>
      </c>
      <c r="C25" s="19" t="n">
        <v>1.67</v>
      </c>
      <c r="D25" s="16" t="n">
        <v>2</v>
      </c>
      <c r="E25" s="16">
        <f>D25*C6</f>
        <v/>
      </c>
      <c r="F25" s="17">
        <f>E25*C8</f>
        <v/>
      </c>
      <c r="G25" s="17">
        <f>AVERAGE('Load Test Metrics'!C55:C62)</f>
        <v/>
      </c>
      <c r="H25" s="20">
        <f>G25/F25</f>
        <v/>
      </c>
      <c r="I25" s="18" t="inlineStr">
        <is>
          <t>5 - 6</t>
        </is>
      </c>
      <c r="J25" s="15" t="inlineStr">
        <is>
          <t>Stabilized at 5 pods (~1,800 msg/s delivered)</t>
        </is>
      </c>
    </row>
    <row r="26">
      <c r="A26" s="18" t="inlineStr">
        <is>
          <t>Phase 4: Spike 2 (Heavy)</t>
        </is>
      </c>
      <c r="B26" s="18" t="inlineStr">
        <is>
          <t>Step 1: Flash Spike (10 Pods)</t>
        </is>
      </c>
      <c r="C26" s="19" t="n">
        <v>5</v>
      </c>
      <c r="D26" s="16" t="n">
        <v>10</v>
      </c>
      <c r="E26" s="16">
        <f>D26*C6</f>
        <v/>
      </c>
      <c r="F26" s="17">
        <f>E26*C8</f>
        <v/>
      </c>
      <c r="G26" s="17">
        <f>AVERAGE('Load Test Metrics'!C62:C82)</f>
        <v/>
      </c>
      <c r="H26" s="20">
        <f>G26/F26</f>
        <v/>
      </c>
      <c r="I26" s="18" t="inlineStr">
        <is>
          <t>5 - 12</t>
        </is>
      </c>
      <c r="J26" s="15" t="inlineStr">
        <is>
          <t>Flash crowd spike; peak burst reached 9,918 msg/s</t>
        </is>
      </c>
    </row>
    <row r="27">
      <c r="A27" s="18" t="inlineStr">
        <is>
          <t>Phase 4: Spike 2 (Heavy)</t>
        </is>
      </c>
      <c r="B27" s="18" t="inlineStr">
        <is>
          <t>Step 2: Absolute Peak (12 Pods)</t>
        </is>
      </c>
      <c r="C27" s="19" t="n">
        <v>5</v>
      </c>
      <c r="D27" s="16" t="n">
        <v>12</v>
      </c>
      <c r="E27" s="16">
        <f>D27*C6</f>
        <v/>
      </c>
      <c r="F27" s="17">
        <f>E27*C8</f>
        <v/>
      </c>
      <c r="G27" s="17">
        <f>AVERAGE('Load Test Metrics'!C82:C102)</f>
        <v/>
      </c>
      <c r="H27" s="20">
        <f>G27/F27</f>
        <v/>
      </c>
      <c r="I27" s="18" t="inlineStr">
        <is>
          <t>12 - 15</t>
        </is>
      </c>
      <c r="J27" s="15" t="inlineStr">
        <is>
          <t>Scaled to 14-15 pods, sustained ~6,800 msg/s at 99.9%</t>
        </is>
      </c>
    </row>
    <row r="28">
      <c r="A28" s="18" t="inlineStr">
        <is>
          <t>Phase 5: Cool-Down 2</t>
        </is>
      </c>
      <c r="B28" s="18" t="inlineStr">
        <is>
          <t>Step 1: Step Down 8 Pods</t>
        </is>
      </c>
      <c r="C28" s="19" t="n">
        <v>1.25</v>
      </c>
      <c r="D28" s="16" t="n">
        <v>8</v>
      </c>
      <c r="E28" s="16">
        <f>D28*C6</f>
        <v/>
      </c>
      <c r="F28" s="17">
        <f>E28*C8</f>
        <v/>
      </c>
      <c r="G28" s="17">
        <f>AVERAGE('Load Test Metrics'!C102:C107)</f>
        <v/>
      </c>
      <c r="H28" s="20">
        <f>G28/F28</f>
        <v/>
      </c>
      <c r="I28" s="18" t="inlineStr">
        <is>
          <t>13 - 14</t>
        </is>
      </c>
      <c r="J28" s="15" t="inlineStr">
        <is>
          <t>Scaled down to 14 pods, throughput ~6,100 msg/s</t>
        </is>
      </c>
    </row>
    <row r="29">
      <c r="A29" s="18" t="inlineStr">
        <is>
          <t>Phase 5: Cool-Down 2</t>
        </is>
      </c>
      <c r="B29" s="18" t="inlineStr">
        <is>
          <t>Step 2: Step Down 6 Pods</t>
        </is>
      </c>
      <c r="C29" s="19" t="n">
        <v>1.25</v>
      </c>
      <c r="D29" s="16" t="n">
        <v>6</v>
      </c>
      <c r="E29" s="16">
        <f>D29*C6</f>
        <v/>
      </c>
      <c r="F29" s="17">
        <f>E29*C8</f>
        <v/>
      </c>
      <c r="G29" s="17">
        <f>AVERAGE('Load Test Metrics'!C107:C112)</f>
        <v/>
      </c>
      <c r="H29" s="20">
        <f>G29/F29</f>
        <v/>
      </c>
      <c r="I29" s="18" t="inlineStr">
        <is>
          <t>12 - 13</t>
        </is>
      </c>
      <c r="J29" s="15" t="inlineStr">
        <is>
          <t>Scaled down to 12-13 pods, throughput ~4,200 msg/s</t>
        </is>
      </c>
    </row>
    <row r="30">
      <c r="A30" s="18" t="inlineStr">
        <is>
          <t>Phase 5: Cool-Down 2</t>
        </is>
      </c>
      <c r="B30" s="18" t="inlineStr">
        <is>
          <t>Step 3: Step Down 4 Pods</t>
        </is>
      </c>
      <c r="C30" s="19" t="n">
        <v>1.25</v>
      </c>
      <c r="D30" s="16" t="n">
        <v>4</v>
      </c>
      <c r="E30" s="16">
        <f>D30*C6</f>
        <v/>
      </c>
      <c r="F30" s="17">
        <f>E30*C8</f>
        <v/>
      </c>
      <c r="G30" s="17">
        <f>AVERAGE('Load Test Metrics'!C112:C117)</f>
        <v/>
      </c>
      <c r="H30" s="20">
        <f>G30/F30</f>
        <v/>
      </c>
      <c r="I30" s="18" t="inlineStr">
        <is>
          <t>8 - 10</t>
        </is>
      </c>
      <c r="J30" s="15" t="inlineStr">
        <is>
          <t>Scaled down to 8-10 pods, throughput ~3,050 msg/s</t>
        </is>
      </c>
    </row>
    <row r="31">
      <c r="A31" s="18" t="inlineStr">
        <is>
          <t>Phase 5: Cool-Down 2</t>
        </is>
      </c>
      <c r="B31" s="18" t="inlineStr">
        <is>
          <t>Step 4: Baseline (2 Pods)</t>
        </is>
      </c>
      <c r="C31" s="19" t="n">
        <v>1.25</v>
      </c>
      <c r="D31" s="16" t="n">
        <v>2</v>
      </c>
      <c r="E31" s="16">
        <f>D31*C6</f>
        <v/>
      </c>
      <c r="F31" s="17">
        <f>E31*C8</f>
        <v/>
      </c>
      <c r="G31" s="17">
        <f>AVERAGE('Load Test Metrics'!C117:C126)</f>
        <v/>
      </c>
      <c r="H31" s="20">
        <f>G31/F31</f>
        <v/>
      </c>
      <c r="I31" s="18" t="inlineStr">
        <is>
          <t>6 - 10</t>
        </is>
      </c>
      <c r="J31" s="15" t="inlineStr">
        <is>
          <t>Scaled down toward baseline; load test completed</t>
        </is>
      </c>
    </row>
    <row r="32">
      <c r="A32" s="21" t="inlineStr">
        <is>
          <t>Total Test Window</t>
        </is>
      </c>
      <c r="B32" s="21" t="inlineStr">
        <is>
          <t>14 Test Steps Across 5 Phases</t>
        </is>
      </c>
      <c r="C32" s="22">
        <f>SUM(C18:C31)</f>
        <v/>
      </c>
      <c r="D32" s="23">
        <f>MAX(D18:D31)</f>
        <v/>
      </c>
      <c r="E32" s="24">
        <f>MAX(E18:E31)</f>
        <v/>
      </c>
      <c r="F32" s="25">
        <f>MAX(F18:F31)</f>
        <v/>
      </c>
      <c r="G32" s="26">
        <f>AVERAGE(G18:G31)</f>
        <v/>
      </c>
      <c r="H32" s="27">
        <f>AVERAGE(H18:H31)</f>
        <v/>
      </c>
      <c r="I32" s="28" t="inlineStr">
        <is>
          <t>1 - 15</t>
        </is>
      </c>
      <c r="J32" s="21" t="inlineStr">
        <is>
          <t>Complete End-to-End Scalability Evaluated</t>
        </is>
      </c>
    </row>
  </sheetData>
  <mergeCells count="2">
    <mergeCell ref="A4:D4"/>
    <mergeCell ref="A16:H1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9" customWidth="1" min="4" max="4"/>
    <col width="22" customWidth="1" min="5" max="5"/>
    <col width="20" customWidth="1" min="6" max="6"/>
    <col width="18" customWidth="1" min="7" max="7"/>
    <col width="12" customWidth="1" min="8" max="8"/>
    <col width="15" customWidth="1" min="9" max="9"/>
    <col width="27" customWidth="1" min="10" max="10"/>
    <col width="28" customWidth="1" min="11" max="11"/>
  </cols>
  <sheetData>
    <row r="1">
      <c r="A1" s="29" t="inlineStr">
        <is>
          <t>Time (UTC)</t>
        </is>
      </c>
      <c r="B1" s="29" t="inlineStr">
        <is>
          <t>Replicas</t>
        </is>
      </c>
      <c r="C1" s="29" t="inlineStr">
        <is>
          <t>Delivered (msg/s)</t>
        </is>
      </c>
      <c r="D1" s="29" t="inlineStr">
        <is>
          <t>Expected (msg/s)</t>
        </is>
      </c>
      <c r="E1" s="29" t="inlineStr">
        <is>
          <t>Undelivered (msg/s)</t>
        </is>
      </c>
      <c r="F1" s="29" t="inlineStr">
        <is>
          <t>Delivery Rate (%)</t>
        </is>
      </c>
      <c r="G1" s="29" t="inlineStr">
        <is>
          <t>P90 Latency (s)</t>
        </is>
      </c>
      <c r="H1" s="29" t="inlineStr">
        <is>
          <t>CPU Cores</t>
        </is>
      </c>
      <c r="I1" s="29" t="inlineStr">
        <is>
          <t>Memory (MiB)</t>
        </is>
      </c>
      <c r="J1" s="29" t="inlineStr">
        <is>
          <t>Working Set Memory (MiB)</t>
        </is>
      </c>
      <c r="K1" s="29" t="inlineStr">
        <is>
          <t>Full Timestamp</t>
        </is>
      </c>
    </row>
    <row r="2">
      <c r="A2" s="30" t="inlineStr">
        <is>
          <t>11:51:55</t>
        </is>
      </c>
      <c r="B2" s="31" t="n">
        <v>1</v>
      </c>
      <c r="C2" s="32" t="n">
        <v/>
      </c>
      <c r="D2" s="32" t="n">
        <v>1000</v>
      </c>
      <c r="E2" s="32" t="n">
        <v/>
      </c>
      <c r="F2" s="33" t="n">
        <v/>
      </c>
      <c r="G2" s="34" t="n">
        <v/>
      </c>
      <c r="H2" s="35" t="n">
        <v>0.001</v>
      </c>
      <c r="I2" s="32" t="n">
        <v>107.54</v>
      </c>
      <c r="J2" s="32" t="n">
        <v>12.72</v>
      </c>
      <c r="K2" t="inlineStr">
        <is>
          <t>2026-10-09 11:51:55+00:00</t>
        </is>
      </c>
    </row>
    <row r="3">
      <c r="A3" s="30" t="inlineStr">
        <is>
          <t>11:52:10</t>
        </is>
      </c>
      <c r="B3" s="31" t="n">
        <v>1</v>
      </c>
      <c r="C3" s="32" t="n">
        <v/>
      </c>
      <c r="D3" s="32" t="n">
        <v>1000</v>
      </c>
      <c r="E3" s="32" t="n">
        <v/>
      </c>
      <c r="F3" s="33" t="n">
        <v/>
      </c>
      <c r="G3" s="34" t="n">
        <v/>
      </c>
      <c r="H3" s="35" t="n">
        <v>0.012</v>
      </c>
      <c r="I3" s="32" t="n">
        <v>110.05</v>
      </c>
      <c r="J3" s="32" t="n">
        <v>15.23</v>
      </c>
      <c r="K3" t="inlineStr">
        <is>
          <t>2026-10-09 11:52:10+00:00</t>
        </is>
      </c>
    </row>
    <row r="4">
      <c r="A4" s="30" t="inlineStr">
        <is>
          <t>11:52:25</t>
        </is>
      </c>
      <c r="B4" s="31" t="n">
        <v>1</v>
      </c>
      <c r="C4" s="32" t="n">
        <v/>
      </c>
      <c r="D4" s="32" t="n">
        <v>1000</v>
      </c>
      <c r="E4" s="32" t="n">
        <v/>
      </c>
      <c r="F4" s="33" t="n">
        <v/>
      </c>
      <c r="G4" s="34" t="n">
        <v/>
      </c>
      <c r="H4" s="35" t="n">
        <v>0.055</v>
      </c>
      <c r="I4" s="32" t="n">
        <v>114.78</v>
      </c>
      <c r="J4" s="32" t="n">
        <v>19.93</v>
      </c>
      <c r="K4" t="inlineStr">
        <is>
          <t>2026-10-09 11:52:25+00:00</t>
        </is>
      </c>
    </row>
    <row r="5">
      <c r="A5" s="30" t="inlineStr">
        <is>
          <t>11:52:40</t>
        </is>
      </c>
      <c r="B5" s="31" t="n">
        <v>1</v>
      </c>
      <c r="C5" s="32" t="n">
        <v>172.95</v>
      </c>
      <c r="D5" s="32" t="n">
        <v>1000</v>
      </c>
      <c r="E5" s="32" t="n">
        <v>4.5</v>
      </c>
      <c r="F5" s="33" t="n">
        <v>97.45999999999999</v>
      </c>
      <c r="G5" s="34" t="n">
        <v>0.4218</v>
      </c>
      <c r="H5" s="35" t="n">
        <v>0.049</v>
      </c>
      <c r="I5" s="32" t="n">
        <v>114.78</v>
      </c>
      <c r="J5" s="32" t="n">
        <v>19.93</v>
      </c>
      <c r="K5" t="inlineStr">
        <is>
          <t>2026-10-09 11:52:40+00:00</t>
        </is>
      </c>
    </row>
    <row r="6">
      <c r="A6" s="30" t="inlineStr">
        <is>
          <t>11:52:55</t>
        </is>
      </c>
      <c r="B6" s="31" t="n">
        <v>1</v>
      </c>
      <c r="C6" s="32" t="n">
        <v>291.58</v>
      </c>
      <c r="D6" s="32" t="n">
        <v>1000</v>
      </c>
      <c r="E6" s="32" t="n">
        <v>4.07</v>
      </c>
      <c r="F6" s="33" t="n">
        <v>98.62</v>
      </c>
      <c r="G6" s="34" t="n">
        <v>0.2054</v>
      </c>
      <c r="H6" s="35" t="n">
        <v>0.61</v>
      </c>
      <c r="I6" s="32" t="n">
        <v>145.6</v>
      </c>
      <c r="J6" s="32" t="n">
        <v>50.4</v>
      </c>
      <c r="K6" t="inlineStr">
        <is>
          <t>2026-10-09 11:52:55+00:00</t>
        </is>
      </c>
    </row>
    <row r="7">
      <c r="A7" s="30" t="inlineStr">
        <is>
          <t>11:53:10</t>
        </is>
      </c>
      <c r="B7" s="31" t="n">
        <v>1</v>
      </c>
      <c r="C7" s="32" t="n">
        <v>413.92</v>
      </c>
      <c r="D7" s="32" t="n">
        <v>1000</v>
      </c>
      <c r="E7" s="32" t="n">
        <v>3.92</v>
      </c>
      <c r="F7" s="33" t="n">
        <v>99.06</v>
      </c>
      <c r="G7" s="34" t="n">
        <v>0.1017</v>
      </c>
      <c r="H7" s="35" t="n">
        <v>0.321</v>
      </c>
      <c r="I7" s="32" t="n">
        <v>146.2</v>
      </c>
      <c r="J7" s="32" t="n">
        <v>50.92</v>
      </c>
      <c r="K7" t="inlineStr">
        <is>
          <t>2026-10-09 11:53:10+00:00</t>
        </is>
      </c>
    </row>
    <row r="8">
      <c r="A8" s="30" t="inlineStr">
        <is>
          <t>11:53:25</t>
        </is>
      </c>
      <c r="B8" s="31" t="n">
        <v>1</v>
      </c>
      <c r="C8" s="32" t="n">
        <v>462.89</v>
      </c>
      <c r="D8" s="32" t="n">
        <v>2000</v>
      </c>
      <c r="E8" s="32" t="n">
        <v>0.91</v>
      </c>
      <c r="F8" s="33" t="n">
        <v>99.8</v>
      </c>
      <c r="G8" s="34" t="n">
        <v>0.0192</v>
      </c>
      <c r="H8" s="35" t="n">
        <v>0.282</v>
      </c>
      <c r="I8" s="32" t="n">
        <v>146.21</v>
      </c>
      <c r="J8" s="32" t="n">
        <v>50.93</v>
      </c>
      <c r="K8" t="inlineStr">
        <is>
          <t>2026-10-09 11:53:25+00:00</t>
        </is>
      </c>
    </row>
    <row r="9">
      <c r="A9" s="30" t="inlineStr">
        <is>
          <t>11:53:40</t>
        </is>
      </c>
      <c r="B9" s="31" t="n">
        <v>1</v>
      </c>
      <c r="C9" s="32" t="n">
        <v>542.9299999999999</v>
      </c>
      <c r="D9" s="32" t="n">
        <v>2000</v>
      </c>
      <c r="E9" s="32" t="n">
        <v>1.95</v>
      </c>
      <c r="F9" s="33" t="n">
        <v>99.64</v>
      </c>
      <c r="G9" s="34" t="n">
        <v>0.033</v>
      </c>
      <c r="H9" s="35" t="n">
        <v>0.333</v>
      </c>
      <c r="I9" s="32" t="n">
        <v>186.97</v>
      </c>
      <c r="J9" s="32" t="n">
        <v>91.12</v>
      </c>
      <c r="K9" t="inlineStr">
        <is>
          <t>2026-10-09 11:53:40+00:00</t>
        </is>
      </c>
    </row>
    <row r="10">
      <c r="A10" s="30" t="inlineStr">
        <is>
          <t>11:53:55</t>
        </is>
      </c>
      <c r="B10" s="31" t="n">
        <v>2</v>
      </c>
      <c r="C10" s="32" t="n">
        <v>656.91</v>
      </c>
      <c r="D10" s="32" t="n">
        <v>2000</v>
      </c>
      <c r="E10" s="32" t="n">
        <v>2.8</v>
      </c>
      <c r="F10" s="33" t="n">
        <v>99.56999999999999</v>
      </c>
      <c r="G10" s="34" t="n">
        <v>0.0394</v>
      </c>
      <c r="H10" s="35" t="n">
        <v>0.44</v>
      </c>
      <c r="I10" s="32" t="n">
        <v>191.62</v>
      </c>
      <c r="J10" s="32" t="n">
        <v>95.77</v>
      </c>
      <c r="K10" t="inlineStr">
        <is>
          <t>2026-10-09 11:53:55+00:00</t>
        </is>
      </c>
    </row>
    <row r="11">
      <c r="A11" s="30" t="inlineStr">
        <is>
          <t>11:54:10</t>
        </is>
      </c>
      <c r="B11" s="31" t="n">
        <v>2</v>
      </c>
      <c r="C11" s="32" t="n">
        <v>785.71</v>
      </c>
      <c r="D11" s="32" t="n">
        <v>2000</v>
      </c>
      <c r="E11" s="32" t="n">
        <v>2.92</v>
      </c>
      <c r="F11" s="33" t="n">
        <v>99.63</v>
      </c>
      <c r="G11" s="34" t="n">
        <v>0.0376</v>
      </c>
      <c r="H11" s="35" t="n">
        <v>0.744</v>
      </c>
      <c r="I11" s="32" t="n">
        <v>193.06</v>
      </c>
      <c r="J11" s="32" t="n">
        <v>97.12</v>
      </c>
      <c r="K11" t="inlineStr">
        <is>
          <t>2026-10-09 11:54:10+00:00</t>
        </is>
      </c>
    </row>
    <row r="12">
      <c r="A12" s="30" t="inlineStr">
        <is>
          <t>11:54:25</t>
        </is>
      </c>
      <c r="B12" s="31" t="n">
        <v>2</v>
      </c>
      <c r="C12" s="32" t="n">
        <v>917.47</v>
      </c>
      <c r="D12" s="32" t="n">
        <v>2000</v>
      </c>
      <c r="E12" s="32" t="n">
        <v>2.46</v>
      </c>
      <c r="F12" s="33" t="n">
        <v>99.73</v>
      </c>
      <c r="G12" s="34" t="n">
        <v>0.0357</v>
      </c>
      <c r="H12" s="35" t="n">
        <v>0.5679999999999999</v>
      </c>
      <c r="I12" s="32" t="n">
        <v>191.2</v>
      </c>
      <c r="J12" s="32" t="n">
        <v>95</v>
      </c>
      <c r="K12" t="inlineStr">
        <is>
          <t>2026-10-09 11:54:25+00:00</t>
        </is>
      </c>
    </row>
    <row r="13">
      <c r="A13" s="30" t="inlineStr">
        <is>
          <t>11:54:40</t>
        </is>
      </c>
      <c r="B13" s="31" t="n">
        <v>2</v>
      </c>
      <c r="C13" s="32" t="n">
        <v>997.58</v>
      </c>
      <c r="D13" s="32" t="n">
        <v>4000</v>
      </c>
      <c r="E13" s="32" t="n">
        <v>1.11</v>
      </c>
      <c r="F13" s="33" t="n">
        <v>99.89</v>
      </c>
      <c r="G13" s="34" t="n">
        <v>0.0245</v>
      </c>
      <c r="H13" s="35" t="n">
        <v>0.388</v>
      </c>
      <c r="I13" s="32" t="n">
        <v>196.56</v>
      </c>
      <c r="J13" s="32" t="n">
        <v>100.07</v>
      </c>
      <c r="K13" t="inlineStr">
        <is>
          <t>2026-10-09 11:54:40+00:00</t>
        </is>
      </c>
    </row>
    <row r="14">
      <c r="A14" s="30" t="inlineStr">
        <is>
          <t>11:54:55</t>
        </is>
      </c>
      <c r="B14" s="31" t="n">
        <v>3</v>
      </c>
      <c r="C14" s="32" t="n">
        <v>972.67</v>
      </c>
      <c r="D14" s="32" t="n">
        <v>4000</v>
      </c>
      <c r="E14" s="32" t="n">
        <v>7.8</v>
      </c>
      <c r="F14" s="33" t="n">
        <v>99.2</v>
      </c>
      <c r="G14" s="34" t="n">
        <v>0.089</v>
      </c>
      <c r="H14" s="35" t="n">
        <v>0.871</v>
      </c>
      <c r="I14" s="32" t="n">
        <v>244.84</v>
      </c>
      <c r="J14" s="32" t="n">
        <v>147.36</v>
      </c>
      <c r="K14" t="inlineStr">
        <is>
          <t>2026-10-09 11:54:55+00:00</t>
        </is>
      </c>
    </row>
    <row r="15">
      <c r="A15" s="30" t="inlineStr">
        <is>
          <t>11:55:10</t>
        </is>
      </c>
      <c r="B15" s="31" t="n">
        <v>3</v>
      </c>
      <c r="C15" s="32" t="n">
        <v>1326.71</v>
      </c>
      <c r="D15" s="32" t="n">
        <v>4000</v>
      </c>
      <c r="E15" s="32" t="n">
        <v>65.64</v>
      </c>
      <c r="F15" s="33" t="n">
        <v>95.29000000000001</v>
      </c>
      <c r="G15" s="34" t="n">
        <v>0.3886</v>
      </c>
      <c r="H15" s="35" t="n">
        <v>1.953</v>
      </c>
      <c r="I15" s="32" t="n">
        <v>284.11</v>
      </c>
      <c r="J15" s="32" t="n">
        <v>185.21</v>
      </c>
      <c r="K15" t="inlineStr">
        <is>
          <t>2026-10-09 11:55:10+00:00</t>
        </is>
      </c>
    </row>
    <row r="16">
      <c r="A16" s="30" t="inlineStr">
        <is>
          <t>11:55:25</t>
        </is>
      </c>
      <c r="B16" s="31" t="n">
        <v>3</v>
      </c>
      <c r="C16" s="32" t="n">
        <v>1583.85</v>
      </c>
      <c r="D16" s="32" t="n">
        <v>4000</v>
      </c>
      <c r="E16" s="32" t="n">
        <v>59.86</v>
      </c>
      <c r="F16" s="33" t="n">
        <v>96.36</v>
      </c>
      <c r="G16" s="34" t="n">
        <v>0.3541</v>
      </c>
      <c r="H16" s="35" t="n">
        <v>2.678</v>
      </c>
      <c r="I16" s="32" t="n">
        <v>307.97</v>
      </c>
      <c r="J16" s="32" t="n">
        <v>208.97</v>
      </c>
      <c r="K16" t="inlineStr">
        <is>
          <t>2026-10-09 11:55:25+00:00</t>
        </is>
      </c>
    </row>
    <row r="17">
      <c r="A17" s="30" t="inlineStr">
        <is>
          <t>11:55:40</t>
        </is>
      </c>
      <c r="B17" s="31" t="n">
        <v>3</v>
      </c>
      <c r="C17" s="32" t="n">
        <v>1817.96</v>
      </c>
      <c r="D17" s="32" t="n">
        <v>4000</v>
      </c>
      <c r="E17" s="32" t="n">
        <v>50.07</v>
      </c>
      <c r="F17" s="33" t="n">
        <v>97.31999999999999</v>
      </c>
      <c r="G17" s="34" t="n">
        <v>0.2669</v>
      </c>
      <c r="H17" s="35" t="n">
        <v>1.687</v>
      </c>
      <c r="I17" s="32" t="n">
        <v>309.89</v>
      </c>
      <c r="J17" s="32" t="n">
        <v>210.41</v>
      </c>
      <c r="K17" t="inlineStr">
        <is>
          <t>2026-10-09 11:55:40+00:00</t>
        </is>
      </c>
    </row>
    <row r="18">
      <c r="A18" s="30" t="inlineStr">
        <is>
          <t>11:55:55</t>
        </is>
      </c>
      <c r="B18" s="31" t="n">
        <v>5</v>
      </c>
      <c r="C18" s="32" t="n">
        <v>1906.84</v>
      </c>
      <c r="D18" s="32" t="n">
        <v>6000</v>
      </c>
      <c r="E18" s="32" t="n">
        <v>5.89</v>
      </c>
      <c r="F18" s="33" t="n">
        <v>99.69</v>
      </c>
      <c r="G18" s="34" t="n">
        <v>0.0488</v>
      </c>
      <c r="H18" s="35" t="n">
        <v>1.295</v>
      </c>
      <c r="I18" s="32" t="n">
        <v>316.58</v>
      </c>
      <c r="J18" s="32" t="n">
        <v>216.05</v>
      </c>
      <c r="K18" t="inlineStr">
        <is>
          <t>2026-10-09 11:55:55+00:00</t>
        </is>
      </c>
    </row>
    <row r="19">
      <c r="A19" s="30" t="inlineStr">
        <is>
          <t>11:56:10</t>
        </is>
      </c>
      <c r="B19" s="31" t="n">
        <v>5</v>
      </c>
      <c r="C19" s="32" t="n">
        <v>1876.42</v>
      </c>
      <c r="D19" s="32" t="n">
        <v>6000</v>
      </c>
      <c r="E19" s="32" t="n">
        <v>5.87</v>
      </c>
      <c r="F19" s="33" t="n">
        <v>99.69</v>
      </c>
      <c r="G19" s="34" t="n">
        <v>0.0987</v>
      </c>
      <c r="H19" s="35" t="n">
        <v>1.053</v>
      </c>
      <c r="I19" s="32" t="n">
        <v>355.38</v>
      </c>
      <c r="J19" s="32" t="n">
        <v>254.07</v>
      </c>
      <c r="K19" t="inlineStr">
        <is>
          <t>2026-10-09 11:56:10+00:00</t>
        </is>
      </c>
    </row>
    <row r="20">
      <c r="A20" s="30" t="inlineStr">
        <is>
          <t>11:56:25</t>
        </is>
      </c>
      <c r="B20" s="31" t="n">
        <v>5</v>
      </c>
      <c r="C20" s="32" t="n">
        <v>2345.74</v>
      </c>
      <c r="D20" s="32" t="n">
        <v>6000</v>
      </c>
      <c r="E20" s="32" t="n">
        <v>15.12</v>
      </c>
      <c r="F20" s="33" t="n">
        <v>99.36</v>
      </c>
      <c r="G20" s="34" t="n">
        <v>0.2015</v>
      </c>
      <c r="H20" s="35" t="n">
        <v>2.803</v>
      </c>
      <c r="I20" s="32" t="n">
        <v>376.64</v>
      </c>
      <c r="J20" s="32" t="n">
        <v>273.45</v>
      </c>
      <c r="K20" t="inlineStr">
        <is>
          <t>2026-10-09 11:56:25+00:00</t>
        </is>
      </c>
    </row>
    <row r="21">
      <c r="A21" s="30" t="inlineStr">
        <is>
          <t>11:56:40</t>
        </is>
      </c>
      <c r="B21" s="31" t="n">
        <v>5</v>
      </c>
      <c r="C21" s="32" t="n">
        <v>2580.53</v>
      </c>
      <c r="D21" s="32" t="n">
        <v>6000</v>
      </c>
      <c r="E21" s="32" t="n">
        <v>16.44</v>
      </c>
      <c r="F21" s="33" t="n">
        <v>99.37</v>
      </c>
      <c r="G21" s="34" t="n">
        <v>0.1944</v>
      </c>
      <c r="H21" s="35" t="n">
        <v>2.378</v>
      </c>
      <c r="I21" s="32" t="n">
        <v>401.52</v>
      </c>
      <c r="J21" s="32" t="n">
        <v>296.99</v>
      </c>
      <c r="K21" t="inlineStr">
        <is>
          <t>2026-10-09 11:56:40+00:00</t>
        </is>
      </c>
    </row>
    <row r="22">
      <c r="A22" s="30" t="inlineStr">
        <is>
          <t>11:56:55</t>
        </is>
      </c>
      <c r="B22" s="31" t="n">
        <v>7</v>
      </c>
      <c r="C22" s="32" t="n">
        <v>2810.97</v>
      </c>
      <c r="D22" s="32" t="n">
        <v>6000</v>
      </c>
      <c r="E22" s="32" t="n">
        <v>12.82</v>
      </c>
      <c r="F22" s="33" t="n">
        <v>99.55</v>
      </c>
      <c r="G22" s="34" t="n">
        <v>0.0984</v>
      </c>
      <c r="H22" s="35" t="n">
        <v>2.289</v>
      </c>
      <c r="I22" s="32" t="n">
        <v>403.88</v>
      </c>
      <c r="J22" s="32" t="n">
        <v>298.62</v>
      </c>
      <c r="K22" t="inlineStr">
        <is>
          <t>2026-10-09 11:56:55+00:00</t>
        </is>
      </c>
    </row>
    <row r="23">
      <c r="A23" s="30" t="inlineStr">
        <is>
          <t>11:57:10</t>
        </is>
      </c>
      <c r="B23" s="31" t="n">
        <v>7</v>
      </c>
      <c r="C23" s="32" t="n">
        <v>2805.22</v>
      </c>
      <c r="D23" s="32" t="n">
        <v>10000</v>
      </c>
      <c r="E23" s="32" t="n">
        <v>5.22</v>
      </c>
      <c r="F23" s="33" t="n">
        <v>99.81</v>
      </c>
      <c r="G23" s="34" t="n">
        <v>0.0365</v>
      </c>
      <c r="H23" s="35" t="n">
        <v>1.455</v>
      </c>
      <c r="I23" s="32" t="n">
        <v>404.48</v>
      </c>
      <c r="J23" s="32" t="n">
        <v>298.79</v>
      </c>
      <c r="K23" t="inlineStr">
        <is>
          <t>2026-10-09 11:57:10+00:00</t>
        </is>
      </c>
    </row>
    <row r="24">
      <c r="A24" s="30" t="inlineStr">
        <is>
          <t>11:57:25</t>
        </is>
      </c>
      <c r="B24" s="31" t="n">
        <v>7</v>
      </c>
      <c r="C24" s="32" t="n">
        <v>2852.5</v>
      </c>
      <c r="D24" s="32" t="n">
        <v>10000</v>
      </c>
      <c r="E24" s="32" t="n">
        <v>27.77</v>
      </c>
      <c r="F24" s="33" t="n">
        <v>99.04000000000001</v>
      </c>
      <c r="G24" s="34" t="n">
        <v>0.1189</v>
      </c>
      <c r="H24" s="35" t="n">
        <v>2.116</v>
      </c>
      <c r="I24" s="32" t="n">
        <v>470.85</v>
      </c>
      <c r="J24" s="32" t="n">
        <v>363.85</v>
      </c>
      <c r="K24" t="inlineStr">
        <is>
          <t>2026-10-09 11:57:25+00:00</t>
        </is>
      </c>
    </row>
    <row r="25">
      <c r="A25" s="30" t="inlineStr">
        <is>
          <t>11:57:40</t>
        </is>
      </c>
      <c r="B25" s="31" t="n">
        <v>7</v>
      </c>
      <c r="C25" s="32" t="n">
        <v>3619.39</v>
      </c>
      <c r="D25" s="32" t="n">
        <v>10000</v>
      </c>
      <c r="E25" s="32" t="n">
        <v>73.09999999999999</v>
      </c>
      <c r="F25" s="33" t="n">
        <v>98.02</v>
      </c>
      <c r="G25" s="34" t="n">
        <v>0.3716</v>
      </c>
      <c r="H25" s="35" t="n">
        <v>4.01</v>
      </c>
      <c r="I25" s="32" t="n">
        <v>504.15</v>
      </c>
      <c r="J25" s="32" t="n">
        <v>392.92</v>
      </c>
      <c r="K25" t="inlineStr">
        <is>
          <t>2026-10-09 11:57:40+00:00</t>
        </is>
      </c>
    </row>
    <row r="26">
      <c r="A26" s="30" t="inlineStr">
        <is>
          <t>11:57:55</t>
        </is>
      </c>
      <c r="B26" s="31" t="n">
        <v>11</v>
      </c>
      <c r="C26" s="32" t="n">
        <v>4284.52</v>
      </c>
      <c r="D26" s="32" t="n">
        <v>10000</v>
      </c>
      <c r="E26" s="32" t="n">
        <v>75.55</v>
      </c>
      <c r="F26" s="33" t="n">
        <v>98.27</v>
      </c>
      <c r="G26" s="34" t="n">
        <v>0.3771</v>
      </c>
      <c r="H26" s="35" t="n">
        <v>7.161</v>
      </c>
      <c r="I26" s="32" t="n">
        <v>567.25</v>
      </c>
      <c r="J26" s="32" t="n">
        <v>453.46</v>
      </c>
      <c r="K26" t="inlineStr">
        <is>
          <t>2026-10-09 11:57:55+00:00</t>
        </is>
      </c>
    </row>
    <row r="27">
      <c r="A27" s="30" t="inlineStr">
        <is>
          <t>11:58:10</t>
        </is>
      </c>
      <c r="B27" s="31" t="n">
        <v>11</v>
      </c>
      <c r="C27" s="32" t="n">
        <v>4937.4</v>
      </c>
      <c r="D27" s="32" t="n">
        <v>10000</v>
      </c>
      <c r="E27" s="32" t="n">
        <v>63.31</v>
      </c>
      <c r="F27" s="33" t="n">
        <v>98.73</v>
      </c>
      <c r="G27" s="34" t="n">
        <v>0.3308</v>
      </c>
      <c r="H27" s="35" t="n">
        <v>5.539</v>
      </c>
      <c r="I27" s="32" t="n">
        <v>587.86</v>
      </c>
      <c r="J27" s="32" t="n">
        <v>472.16</v>
      </c>
      <c r="K27" t="inlineStr">
        <is>
          <t>2026-10-09 11:58:10+00:00</t>
        </is>
      </c>
    </row>
    <row r="28">
      <c r="A28" s="30" t="inlineStr">
        <is>
          <t>11:58:25</t>
        </is>
      </c>
      <c r="B28" s="31" t="n">
        <v>11</v>
      </c>
      <c r="C28" s="32" t="n">
        <v>5208.29</v>
      </c>
      <c r="D28" s="32" t="n">
        <v>10000</v>
      </c>
      <c r="E28" s="32" t="n">
        <v>13.22</v>
      </c>
      <c r="F28" s="33" t="n">
        <v>99.75</v>
      </c>
      <c r="G28" s="34" t="n">
        <v>0.168</v>
      </c>
      <c r="H28" s="35" t="n">
        <v>3.261</v>
      </c>
      <c r="I28" s="32" t="n">
        <v>628.28</v>
      </c>
      <c r="J28" s="32" t="n">
        <v>510.39</v>
      </c>
      <c r="K28" t="inlineStr">
        <is>
          <t>2026-10-09 11:58:25+00:00</t>
        </is>
      </c>
    </row>
    <row r="29">
      <c r="A29" s="30" t="inlineStr">
        <is>
          <t>11:58:40</t>
        </is>
      </c>
      <c r="B29" s="31" t="n">
        <v>11</v>
      </c>
      <c r="C29" s="32" t="n">
        <v>5162.13</v>
      </c>
      <c r="D29" s="32" t="n">
        <v>10000</v>
      </c>
      <c r="E29" s="32" t="n">
        <v>5.51</v>
      </c>
      <c r="F29" s="33" t="n">
        <v>99.89</v>
      </c>
      <c r="G29" s="34" t="n">
        <v>0.1137</v>
      </c>
      <c r="H29" s="35" t="n">
        <v>2.499</v>
      </c>
      <c r="I29" s="32" t="n">
        <v>654.86</v>
      </c>
      <c r="J29" s="32" t="n">
        <v>534.73</v>
      </c>
      <c r="K29" t="inlineStr">
        <is>
          <t>2026-10-09 11:58:40+00:00</t>
        </is>
      </c>
    </row>
    <row r="30">
      <c r="A30" s="30" t="inlineStr">
        <is>
          <t>11:58:55</t>
        </is>
      </c>
      <c r="B30" s="31" t="n">
        <v>14</v>
      </c>
      <c r="C30" s="32" t="n">
        <v>5098.87</v>
      </c>
      <c r="D30" s="32" t="n">
        <v>10000</v>
      </c>
      <c r="E30" s="32" t="n">
        <v>3.91</v>
      </c>
      <c r="F30" s="33" t="n">
        <v>99.92</v>
      </c>
      <c r="G30" s="34" t="n">
        <v>0.094</v>
      </c>
      <c r="H30" s="35" t="n">
        <v>2.358</v>
      </c>
      <c r="I30" s="32" t="n">
        <v>680.3</v>
      </c>
      <c r="J30" s="32" t="n">
        <v>558.67</v>
      </c>
      <c r="K30" t="inlineStr">
        <is>
          <t>2026-10-09 11:58:55+00:00</t>
        </is>
      </c>
    </row>
    <row r="31">
      <c r="A31" s="30" t="inlineStr">
        <is>
          <t>11:59:10</t>
        </is>
      </c>
      <c r="B31" s="31" t="n">
        <v>14</v>
      </c>
      <c r="C31" s="32" t="n">
        <v>5004.2</v>
      </c>
      <c r="D31" s="32" t="n">
        <v>10000</v>
      </c>
      <c r="E31" s="32" t="n">
        <v>2.73</v>
      </c>
      <c r="F31" s="33" t="n">
        <v>99.95</v>
      </c>
      <c r="G31" s="34" t="n">
        <v>0.0755</v>
      </c>
      <c r="H31" s="35" t="n">
        <v>2.072</v>
      </c>
      <c r="I31" s="32" t="n">
        <v>685.83</v>
      </c>
      <c r="J31" s="32" t="n">
        <v>562.77</v>
      </c>
      <c r="K31" t="inlineStr">
        <is>
          <t>2026-10-09 11:59:10+00:00</t>
        </is>
      </c>
    </row>
    <row r="32">
      <c r="A32" s="30" t="inlineStr">
        <is>
          <t>11:59:25</t>
        </is>
      </c>
      <c r="B32" s="31" t="n">
        <v>14</v>
      </c>
      <c r="C32" s="32" t="n">
        <v>5036.4</v>
      </c>
      <c r="D32" s="32" t="n">
        <v>10000</v>
      </c>
      <c r="E32" s="32" t="n">
        <v>2.13</v>
      </c>
      <c r="F32" s="33" t="n">
        <v>99.95999999999999</v>
      </c>
      <c r="G32" s="34" t="n">
        <v>0.0848</v>
      </c>
      <c r="H32" s="35" t="n">
        <v>2.061</v>
      </c>
      <c r="I32" s="32" t="n">
        <v>689.1</v>
      </c>
      <c r="J32" s="32" t="n">
        <v>564.9</v>
      </c>
      <c r="K32" t="inlineStr">
        <is>
          <t>2026-10-09 11:59:25+00:00</t>
        </is>
      </c>
    </row>
    <row r="33">
      <c r="A33" s="30" t="inlineStr">
        <is>
          <t>11:59:40</t>
        </is>
      </c>
      <c r="B33" s="31" t="n">
        <v>14</v>
      </c>
      <c r="C33" s="32" t="n">
        <v>5131.58</v>
      </c>
      <c r="D33" s="32" t="n">
        <v>10000</v>
      </c>
      <c r="E33" s="32" t="n">
        <v>2.71</v>
      </c>
      <c r="F33" s="33" t="n">
        <v>99.95</v>
      </c>
      <c r="G33" s="34" t="n">
        <v>0.1508</v>
      </c>
      <c r="H33" s="35" t="n">
        <v>1.893</v>
      </c>
      <c r="I33" s="32" t="n">
        <v>697.83</v>
      </c>
      <c r="J33" s="32" t="n">
        <v>571.26</v>
      </c>
      <c r="K33" t="inlineStr">
        <is>
          <t>2026-10-09 11:59:40+00:00</t>
        </is>
      </c>
    </row>
    <row r="34">
      <c r="A34" s="30" t="inlineStr">
        <is>
          <t>11:59:55</t>
        </is>
      </c>
      <c r="B34" s="31" t="n">
        <v>14</v>
      </c>
      <c r="C34" s="32" t="n">
        <v>5393.22</v>
      </c>
      <c r="D34" s="32" t="n">
        <v>10000</v>
      </c>
      <c r="E34" s="32" t="n">
        <v>2.51</v>
      </c>
      <c r="F34" s="33" t="n">
        <v>99.95</v>
      </c>
      <c r="G34" s="34" t="n">
        <v>0.209</v>
      </c>
      <c r="H34" s="35" t="n">
        <v>2.346</v>
      </c>
      <c r="I34" s="32" t="n">
        <v>708.54</v>
      </c>
      <c r="J34" s="32" t="n">
        <v>579.14</v>
      </c>
      <c r="K34" t="inlineStr">
        <is>
          <t>2026-10-09 11:59:55+00:00</t>
        </is>
      </c>
    </row>
    <row r="35">
      <c r="A35" s="30" t="inlineStr">
        <is>
          <t>12:00:10</t>
        </is>
      </c>
      <c r="B35" s="31" t="n">
        <v>14</v>
      </c>
      <c r="C35" s="32" t="n">
        <v>5424.61</v>
      </c>
      <c r="D35" s="32" t="n">
        <v>10000</v>
      </c>
      <c r="E35" s="32" t="n">
        <v>2.41</v>
      </c>
      <c r="F35" s="33" t="n">
        <v>99.95999999999999</v>
      </c>
      <c r="G35" s="34" t="n">
        <v>0.2068</v>
      </c>
      <c r="H35" s="35" t="n">
        <v>1.783</v>
      </c>
      <c r="I35" s="32" t="n">
        <v>712.8200000000001</v>
      </c>
      <c r="J35" s="32" t="n">
        <v>581.49</v>
      </c>
      <c r="K35" t="inlineStr">
        <is>
          <t>2026-10-09 12:00:10+00:00</t>
        </is>
      </c>
    </row>
    <row r="36">
      <c r="A36" s="30" t="inlineStr">
        <is>
          <t>12:00:25</t>
        </is>
      </c>
      <c r="B36" s="31" t="n">
        <v>14</v>
      </c>
      <c r="C36" s="32" t="n">
        <v>5441.36</v>
      </c>
      <c r="D36" s="32" t="n">
        <v>10000</v>
      </c>
      <c r="E36" s="32" t="n">
        <v>1.98</v>
      </c>
      <c r="F36" s="33" t="n">
        <v>99.95999999999999</v>
      </c>
      <c r="G36" s="34" t="n">
        <v>0.2063</v>
      </c>
      <c r="H36" s="35" t="n">
        <v>2.051</v>
      </c>
      <c r="I36" s="32" t="n">
        <v>715.3200000000001</v>
      </c>
      <c r="J36" s="32" t="n">
        <v>581.01</v>
      </c>
      <c r="K36" t="inlineStr">
        <is>
          <t>2026-10-09 12:00:25+00:00</t>
        </is>
      </c>
    </row>
    <row r="37">
      <c r="A37" s="30" t="inlineStr">
        <is>
          <t>12:00:40</t>
        </is>
      </c>
      <c r="B37" s="31" t="n">
        <v>14</v>
      </c>
      <c r="C37" s="32" t="n">
        <v>5467.88</v>
      </c>
      <c r="D37" s="32" t="n">
        <v>10000</v>
      </c>
      <c r="E37" s="32" t="n">
        <v>2.08</v>
      </c>
      <c r="F37" s="33" t="n">
        <v>99.95999999999999</v>
      </c>
      <c r="G37" s="34" t="n">
        <v>0.204</v>
      </c>
      <c r="H37" s="35" t="n">
        <v>1.645</v>
      </c>
      <c r="I37" s="32" t="n">
        <v>716.1799999999999</v>
      </c>
      <c r="J37" s="32" t="n">
        <v>580.15</v>
      </c>
      <c r="K37" t="inlineStr">
        <is>
          <t>2026-10-09 12:00:40+00:00</t>
        </is>
      </c>
    </row>
    <row r="38">
      <c r="A38" s="30" t="inlineStr">
        <is>
          <t>12:00:55</t>
        </is>
      </c>
      <c r="B38" s="31" t="n">
        <v>14</v>
      </c>
      <c r="C38" s="32" t="n">
        <v>5476.33</v>
      </c>
      <c r="D38" s="32" t="n">
        <v>10000</v>
      </c>
      <c r="E38" s="32" t="n">
        <v>2.17</v>
      </c>
      <c r="F38" s="33" t="n">
        <v>99.95999999999999</v>
      </c>
      <c r="G38" s="34" t="n">
        <v>0.2062</v>
      </c>
      <c r="H38" s="35" t="n">
        <v>2.108</v>
      </c>
      <c r="I38" s="32" t="n">
        <v>718.95</v>
      </c>
      <c r="J38" s="32" t="n">
        <v>580.95</v>
      </c>
      <c r="K38" t="inlineStr">
        <is>
          <t>2026-10-09 12:00:55+00:00</t>
        </is>
      </c>
    </row>
    <row r="39">
      <c r="A39" s="30" t="inlineStr">
        <is>
          <t>12:01:10</t>
        </is>
      </c>
      <c r="B39" s="31" t="n">
        <v>14</v>
      </c>
      <c r="C39" s="32" t="n">
        <v>5570.31</v>
      </c>
      <c r="D39" s="32" t="n">
        <v>10000</v>
      </c>
      <c r="E39" s="32" t="n">
        <v>2.29</v>
      </c>
      <c r="F39" s="33" t="n">
        <v>99.95999999999999</v>
      </c>
      <c r="G39" s="34" t="n">
        <v>0.2028</v>
      </c>
      <c r="H39" s="35" t="n">
        <v>1.754</v>
      </c>
      <c r="I39" s="32" t="n">
        <v>721.1799999999999</v>
      </c>
      <c r="J39" s="32" t="n">
        <v>580.5</v>
      </c>
      <c r="K39" t="inlineStr">
        <is>
          <t>2026-10-09 12:01:10+00:00</t>
        </is>
      </c>
    </row>
    <row r="40">
      <c r="A40" s="30" t="inlineStr">
        <is>
          <t>12:01:25</t>
        </is>
      </c>
      <c r="B40" s="31" t="n">
        <v>14</v>
      </c>
      <c r="C40" s="32" t="n">
        <v>5476.2</v>
      </c>
      <c r="D40" s="32" t="n">
        <v>10000</v>
      </c>
      <c r="E40" s="32" t="n">
        <v>2.13</v>
      </c>
      <c r="F40" s="33" t="n">
        <v>99.95999999999999</v>
      </c>
      <c r="G40" s="34" t="n">
        <v>0.1843</v>
      </c>
      <c r="H40" s="35" t="n">
        <v>2.083</v>
      </c>
      <c r="I40" s="32" t="n">
        <v>673.98</v>
      </c>
      <c r="J40" s="32" t="n">
        <v>581.28</v>
      </c>
      <c r="K40" t="inlineStr">
        <is>
          <t>2026-10-09 12:01:25+00:00</t>
        </is>
      </c>
    </row>
    <row r="41">
      <c r="A41" s="30" t="inlineStr">
        <is>
          <t>12:01:40</t>
        </is>
      </c>
      <c r="B41" s="31" t="n">
        <v>14</v>
      </c>
      <c r="C41" s="32" t="n">
        <v>5543.07</v>
      </c>
      <c r="D41" s="32" t="n">
        <v>10000</v>
      </c>
      <c r="E41" s="32" t="n">
        <v>2.76</v>
      </c>
      <c r="F41" s="33" t="n">
        <v>99.95</v>
      </c>
      <c r="G41" s="34" t="n">
        <v>0.2192</v>
      </c>
      <c r="H41" s="35" t="n">
        <v>2.115</v>
      </c>
      <c r="I41" s="32" t="n">
        <v>679.08</v>
      </c>
      <c r="J41" s="32" t="n">
        <v>583.66</v>
      </c>
      <c r="K41" t="inlineStr">
        <is>
          <t>2026-10-09 12:01:40+00:00</t>
        </is>
      </c>
    </row>
    <row r="42">
      <c r="A42" s="30" t="inlineStr">
        <is>
          <t>12:01:55</t>
        </is>
      </c>
      <c r="B42" s="31" t="n">
        <v>14</v>
      </c>
      <c r="C42" s="32" t="n">
        <v>5586.51</v>
      </c>
      <c r="D42" s="32" t="n">
        <v>10000</v>
      </c>
      <c r="E42" s="32" t="n">
        <v>2.56</v>
      </c>
      <c r="F42" s="33" t="n">
        <v>99.95</v>
      </c>
      <c r="G42" s="34" t="n">
        <v>0.2234</v>
      </c>
      <c r="H42" s="35" t="n">
        <v>2.313</v>
      </c>
      <c r="I42" s="32" t="n">
        <v>682.35</v>
      </c>
      <c r="J42" s="32" t="n">
        <v>584.86</v>
      </c>
      <c r="K42" t="inlineStr">
        <is>
          <t>2026-10-09 12:01:55+00:00</t>
        </is>
      </c>
    </row>
    <row r="43">
      <c r="A43" s="30" t="inlineStr">
        <is>
          <t>12:02:10</t>
        </is>
      </c>
      <c r="B43" s="31" t="n">
        <v>14</v>
      </c>
      <c r="C43" s="32" t="n">
        <v>5494.58</v>
      </c>
      <c r="D43" s="32" t="n">
        <v>6000</v>
      </c>
      <c r="E43" s="32" t="n">
        <v>2.7</v>
      </c>
      <c r="F43" s="33" t="n">
        <v>99.95</v>
      </c>
      <c r="G43" s="34" t="n">
        <v>0.2342</v>
      </c>
      <c r="H43" s="35" t="n">
        <v>2.327</v>
      </c>
      <c r="I43" s="32" t="n">
        <v>690.03</v>
      </c>
      <c r="J43" s="32" t="n">
        <v>589.14</v>
      </c>
      <c r="K43" t="inlineStr">
        <is>
          <t>2026-10-09 12:02:10+00:00</t>
        </is>
      </c>
    </row>
    <row r="44">
      <c r="A44" s="30" t="inlineStr">
        <is>
          <t>12:02:25</t>
        </is>
      </c>
      <c r="B44" s="31" t="n">
        <v>14</v>
      </c>
      <c r="C44" s="32" t="n">
        <v>5028.9</v>
      </c>
      <c r="D44" s="32" t="n">
        <v>6000</v>
      </c>
      <c r="E44" s="32" t="n">
        <v>1.88</v>
      </c>
      <c r="F44" s="33" t="n">
        <v>99.95999999999999</v>
      </c>
      <c r="G44" s="34" t="n">
        <v>0.2411</v>
      </c>
      <c r="H44" s="35" t="n">
        <v>1.946</v>
      </c>
      <c r="I44" s="32" t="n">
        <v>690.78</v>
      </c>
      <c r="J44" s="32" t="n">
        <v>588.8</v>
      </c>
      <c r="K44" t="inlineStr">
        <is>
          <t>2026-10-09 12:02:25+00:00</t>
        </is>
      </c>
    </row>
    <row r="45">
      <c r="A45" s="30" t="inlineStr">
        <is>
          <t>12:02:40</t>
        </is>
      </c>
      <c r="B45" s="31" t="n">
        <v>14</v>
      </c>
      <c r="C45" s="32" t="n">
        <v>4164.65</v>
      </c>
      <c r="D45" s="32" t="n">
        <v>6000</v>
      </c>
      <c r="E45" s="32" t="n">
        <v>1.83</v>
      </c>
      <c r="F45" s="33" t="n">
        <v>99.95999999999999</v>
      </c>
      <c r="G45" s="34" t="n">
        <v>0.2362</v>
      </c>
      <c r="H45" s="35" t="n">
        <v>2.303</v>
      </c>
      <c r="I45" s="32" t="n">
        <v>690.6900000000001</v>
      </c>
      <c r="J45" s="32" t="n">
        <v>584.1900000000001</v>
      </c>
      <c r="K45" t="inlineStr">
        <is>
          <t>2026-10-09 12:02:40+00:00</t>
        </is>
      </c>
    </row>
    <row r="46">
      <c r="A46" s="30" t="inlineStr">
        <is>
          <t>12:02:55</t>
        </is>
      </c>
      <c r="B46" s="31" t="n">
        <v>14</v>
      </c>
      <c r="C46" s="32" t="n">
        <v>3496.69</v>
      </c>
      <c r="D46" s="32" t="n">
        <v>6000</v>
      </c>
      <c r="E46" s="32" t="n">
        <v>1.22</v>
      </c>
      <c r="F46" s="33" t="n">
        <v>99.97</v>
      </c>
      <c r="G46" s="34" t="n">
        <v>0.2449</v>
      </c>
      <c r="H46" s="35" t="n">
        <v>2.136</v>
      </c>
      <c r="I46" s="32" t="n">
        <v>686.9400000000001</v>
      </c>
      <c r="J46" s="32" t="n">
        <v>579.04</v>
      </c>
      <c r="K46" t="inlineStr">
        <is>
          <t>2026-10-09 12:02:55+00:00</t>
        </is>
      </c>
    </row>
    <row r="47">
      <c r="A47" s="30" t="inlineStr">
        <is>
          <t>12:03:10</t>
        </is>
      </c>
      <c r="B47" s="31" t="n">
        <v>14</v>
      </c>
      <c r="C47" s="32" t="n">
        <v>3422.11</v>
      </c>
      <c r="D47" s="32" t="n">
        <v>6000</v>
      </c>
      <c r="E47" s="32" t="n">
        <v>1.11</v>
      </c>
      <c r="F47" s="33" t="n">
        <v>99.97</v>
      </c>
      <c r="G47" s="34" t="n">
        <v>0.249</v>
      </c>
      <c r="H47" s="35" t="n">
        <v>1.345</v>
      </c>
      <c r="I47" s="32" t="n">
        <v>685.3200000000001</v>
      </c>
      <c r="J47" s="32" t="n">
        <v>574.66</v>
      </c>
      <c r="K47" t="inlineStr">
        <is>
          <t>2026-10-09 12:03:10+00:00</t>
        </is>
      </c>
    </row>
    <row r="48">
      <c r="A48" s="30" t="inlineStr">
        <is>
          <t>12:03:25</t>
        </is>
      </c>
      <c r="B48" s="31" t="n">
        <v>14</v>
      </c>
      <c r="C48" s="32" t="n">
        <v>3472.4</v>
      </c>
      <c r="D48" s="32" t="n">
        <v>6000</v>
      </c>
      <c r="E48" s="32" t="n">
        <v>1.07</v>
      </c>
      <c r="F48" s="33" t="n">
        <v>99.97</v>
      </c>
      <c r="G48" s="34" t="n">
        <v>0.252</v>
      </c>
      <c r="H48" s="35" t="n">
        <v>1.466</v>
      </c>
      <c r="I48" s="32" t="n">
        <v>684.83</v>
      </c>
      <c r="J48" s="32" t="n">
        <v>573.04</v>
      </c>
      <c r="K48" t="inlineStr">
        <is>
          <t>2026-10-09 12:03:25+00:00</t>
        </is>
      </c>
    </row>
    <row r="49">
      <c r="A49" s="30" t="inlineStr">
        <is>
          <t>12:03:40</t>
        </is>
      </c>
      <c r="B49" s="31" t="n">
        <v>14</v>
      </c>
      <c r="C49" s="32" t="n">
        <v>3506.71</v>
      </c>
      <c r="D49" s="32" t="n">
        <v>4000</v>
      </c>
      <c r="E49" s="32" t="n">
        <v>3.53</v>
      </c>
      <c r="F49" s="33" t="n">
        <v>99.90000000000001</v>
      </c>
      <c r="G49" s="34" t="n">
        <v>0.3055</v>
      </c>
      <c r="H49" s="35" t="n">
        <v>1.121</v>
      </c>
      <c r="I49" s="32" t="n">
        <v>685.86</v>
      </c>
      <c r="J49" s="32" t="n">
        <v>571.9400000000001</v>
      </c>
      <c r="K49" t="inlineStr">
        <is>
          <t>2026-10-09 12:03:40+00:00</t>
        </is>
      </c>
    </row>
    <row r="50">
      <c r="A50" s="30" t="inlineStr">
        <is>
          <t>12:03:55</t>
        </is>
      </c>
      <c r="B50" s="31" t="n">
        <v>10</v>
      </c>
      <c r="C50" s="32" t="n">
        <v>3284.41</v>
      </c>
      <c r="D50" s="32" t="n">
        <v>4000</v>
      </c>
      <c r="E50" s="32" t="n">
        <v>3.67</v>
      </c>
      <c r="F50" s="33" t="n">
        <v>99.89</v>
      </c>
      <c r="G50" s="34" t="n">
        <v>0.2752</v>
      </c>
      <c r="H50" s="35" t="n">
        <v>1.483</v>
      </c>
      <c r="I50" s="32" t="n">
        <v>606.88</v>
      </c>
      <c r="J50" s="32" t="n">
        <v>499.61</v>
      </c>
      <c r="K50" t="inlineStr">
        <is>
          <t>2026-10-09 12:03:55+00:00</t>
        </is>
      </c>
    </row>
    <row r="51">
      <c r="A51" s="30" t="inlineStr">
        <is>
          <t>12:04:10</t>
        </is>
      </c>
      <c r="B51" s="31" t="n">
        <v>10</v>
      </c>
      <c r="C51" s="32" t="n">
        <v>3121.97</v>
      </c>
      <c r="D51" s="32" t="n">
        <v>4000</v>
      </c>
      <c r="E51" s="32" t="n">
        <v>5.6</v>
      </c>
      <c r="F51" s="33" t="n">
        <v>99.81999999999999</v>
      </c>
      <c r="G51" s="34" t="n">
        <v>0.3366</v>
      </c>
      <c r="H51" s="35" t="n">
        <v>0.946</v>
      </c>
      <c r="I51" s="32" t="n">
        <v>513.66</v>
      </c>
      <c r="J51" s="32" t="n">
        <v>415.6</v>
      </c>
      <c r="K51" t="inlineStr">
        <is>
          <t>2026-10-09 12:04:10+00:00</t>
        </is>
      </c>
    </row>
    <row r="52">
      <c r="A52" s="30" t="inlineStr">
        <is>
          <t>12:04:25</t>
        </is>
      </c>
      <c r="B52" s="31" t="n">
        <v>10</v>
      </c>
      <c r="C52" s="32" t="n">
        <v>2547.24</v>
      </c>
      <c r="D52" s="32" t="n">
        <v>4000</v>
      </c>
      <c r="E52" s="32" t="n">
        <v>2.78</v>
      </c>
      <c r="F52" s="33" t="n">
        <v>99.89</v>
      </c>
      <c r="G52" s="34" t="n">
        <v>0.3435</v>
      </c>
      <c r="H52" s="35" t="n">
        <v>1.617</v>
      </c>
      <c r="I52" s="32" t="n">
        <v>512.4299999999999</v>
      </c>
      <c r="J52" s="32" t="n">
        <v>411.54</v>
      </c>
      <c r="K52" t="inlineStr">
        <is>
          <t>2026-10-09 12:04:25+00:00</t>
        </is>
      </c>
    </row>
    <row r="53">
      <c r="A53" s="30" t="inlineStr">
        <is>
          <t>12:04:40</t>
        </is>
      </c>
      <c r="B53" s="31" t="n">
        <v>10</v>
      </c>
      <c r="C53" s="32" t="n">
        <v>2559.18</v>
      </c>
      <c r="D53" s="32" t="n">
        <v>4000</v>
      </c>
      <c r="E53" s="32" t="n">
        <v>4.53</v>
      </c>
      <c r="F53" s="33" t="n">
        <v>99.81999999999999</v>
      </c>
      <c r="G53" s="34" t="n">
        <v>0.3529</v>
      </c>
      <c r="H53" s="35" t="n">
        <v>1.107</v>
      </c>
      <c r="I53" s="32" t="n">
        <v>506.51</v>
      </c>
      <c r="J53" s="32" t="n">
        <v>403.99</v>
      </c>
      <c r="K53" t="inlineStr">
        <is>
          <t>2026-10-09 12:04:40+00:00</t>
        </is>
      </c>
    </row>
    <row r="54">
      <c r="A54" s="30" t="inlineStr">
        <is>
          <t>12:04:55</t>
        </is>
      </c>
      <c r="B54" s="31" t="n">
        <v>8</v>
      </c>
      <c r="C54" s="32" t="n">
        <v>2573.31</v>
      </c>
      <c r="D54" s="32" t="n">
        <v>4000</v>
      </c>
      <c r="E54" s="32" t="n">
        <v>2.53</v>
      </c>
      <c r="F54" s="33" t="n">
        <v>99.90000000000001</v>
      </c>
      <c r="G54" s="34" t="n">
        <v>0.3268</v>
      </c>
      <c r="H54" s="35" t="n">
        <v>0.978</v>
      </c>
      <c r="I54" s="32" t="n">
        <v>473.41</v>
      </c>
      <c r="J54" s="32" t="n">
        <v>373.21</v>
      </c>
      <c r="K54" t="inlineStr">
        <is>
          <t>2026-10-09 12:04:55+00:00</t>
        </is>
      </c>
    </row>
    <row r="55">
      <c r="A55" s="30" t="inlineStr">
        <is>
          <t>12:05:10</t>
        </is>
      </c>
      <c r="B55" s="31" t="n">
        <v>8</v>
      </c>
      <c r="C55" s="32" t="n">
        <v>2484.24</v>
      </c>
      <c r="D55" s="32" t="n">
        <v>4000</v>
      </c>
      <c r="E55" s="32" t="n">
        <v>3.98</v>
      </c>
      <c r="F55" s="33" t="n">
        <v>99.84</v>
      </c>
      <c r="G55" s="34" t="n">
        <v>0.3323</v>
      </c>
      <c r="H55" s="35" t="n">
        <v>1.025</v>
      </c>
      <c r="I55" s="32" t="n">
        <v>474.41</v>
      </c>
      <c r="J55" s="32" t="n">
        <v>371.58</v>
      </c>
      <c r="K55" t="inlineStr">
        <is>
          <t>2026-10-09 12:05:10+00:00</t>
        </is>
      </c>
    </row>
    <row r="56">
      <c r="A56" s="30" t="inlineStr">
        <is>
          <t>12:05:25</t>
        </is>
      </c>
      <c r="B56" s="31" t="n">
        <v>8</v>
      </c>
      <c r="C56" s="32" t="n">
        <v>2722.38</v>
      </c>
      <c r="D56" s="32" t="n">
        <v>2000</v>
      </c>
      <c r="E56" s="32" t="n">
        <v>2.13</v>
      </c>
      <c r="F56" s="33" t="n">
        <v>99.92</v>
      </c>
      <c r="G56" s="34" t="n">
        <v>0.3859</v>
      </c>
      <c r="H56" s="35" t="n">
        <v>1.056</v>
      </c>
      <c r="I56" s="32" t="n">
        <v>425.09</v>
      </c>
      <c r="J56" s="32" t="n">
        <v>326.48</v>
      </c>
      <c r="K56" t="inlineStr">
        <is>
          <t>2026-10-09 12:05:25+00:00</t>
        </is>
      </c>
    </row>
    <row r="57">
      <c r="A57" s="30" t="inlineStr">
        <is>
          <t>12:05:40</t>
        </is>
      </c>
      <c r="B57" s="31" t="n">
        <v>8</v>
      </c>
      <c r="C57" s="32" t="n">
        <v>2244.79</v>
      </c>
      <c r="D57" s="32" t="n">
        <v>2000</v>
      </c>
      <c r="E57" s="32" t="n">
        <v>2.84</v>
      </c>
      <c r="F57" s="33" t="n">
        <v>99.87</v>
      </c>
      <c r="G57" s="34" t="n">
        <v>0.39</v>
      </c>
      <c r="H57" s="35" t="n">
        <v>0.968</v>
      </c>
      <c r="I57" s="32" t="n">
        <v>425.21</v>
      </c>
      <c r="J57" s="32" t="n">
        <v>325.2</v>
      </c>
      <c r="K57" t="inlineStr">
        <is>
          <t>2026-10-09 12:05:40+00:00</t>
        </is>
      </c>
    </row>
    <row r="58">
      <c r="A58" s="30" t="inlineStr">
        <is>
          <t>12:05:55</t>
        </is>
      </c>
      <c r="B58" s="31" t="n">
        <v>7</v>
      </c>
      <c r="C58" s="32" t="n">
        <v>1919.54</v>
      </c>
      <c r="D58" s="32" t="n">
        <v>2000</v>
      </c>
      <c r="E58" s="32" t="n">
        <v>1.2</v>
      </c>
      <c r="F58" s="33" t="n">
        <v>99.94</v>
      </c>
      <c r="G58" s="34" t="n">
        <v>0.3913</v>
      </c>
      <c r="H58" s="35" t="n">
        <v>1.048</v>
      </c>
      <c r="I58" s="32" t="n">
        <v>394.11</v>
      </c>
      <c r="J58" s="32" t="n">
        <v>297.54</v>
      </c>
      <c r="K58" t="inlineStr">
        <is>
          <t>2026-10-09 12:05:55+00:00</t>
        </is>
      </c>
    </row>
    <row r="59">
      <c r="A59" s="30" t="inlineStr">
        <is>
          <t>12:06:10</t>
        </is>
      </c>
      <c r="B59" s="31" t="n">
        <v>7</v>
      </c>
      <c r="C59" s="32" t="n">
        <v>1255.04</v>
      </c>
      <c r="D59" s="32" t="n">
        <v>2000</v>
      </c>
      <c r="E59" s="32" t="n">
        <v>1.02</v>
      </c>
      <c r="F59" s="33" t="n">
        <v>99.92</v>
      </c>
      <c r="G59" s="34" t="n">
        <v>0.3784</v>
      </c>
      <c r="H59" s="35" t="n">
        <v>0.787</v>
      </c>
      <c r="I59" s="32" t="n">
        <v>387.71</v>
      </c>
      <c r="J59" s="32" t="n">
        <v>289.06</v>
      </c>
      <c r="K59" t="inlineStr">
        <is>
          <t>2026-10-09 12:06:10+00:00</t>
        </is>
      </c>
    </row>
    <row r="60">
      <c r="A60" s="30" t="inlineStr">
        <is>
          <t>12:06:25</t>
        </is>
      </c>
      <c r="B60" s="31" t="n">
        <v>7</v>
      </c>
      <c r="C60" s="32" t="n">
        <v>1323.22</v>
      </c>
      <c r="D60" s="32" t="n">
        <v>2000</v>
      </c>
      <c r="E60" s="32" t="n">
        <v>0.22</v>
      </c>
      <c r="F60" s="33" t="n">
        <v>99.98</v>
      </c>
      <c r="G60" s="34" t="n">
        <v>0.4025</v>
      </c>
      <c r="H60" s="35" t="n">
        <v>0.711</v>
      </c>
      <c r="I60" s="32" t="n">
        <v>381.18</v>
      </c>
      <c r="J60" s="32" t="n">
        <v>282.02</v>
      </c>
      <c r="K60" t="inlineStr">
        <is>
          <t>2026-10-09 12:06:25+00:00</t>
        </is>
      </c>
    </row>
    <row r="61">
      <c r="A61" s="30" t="inlineStr">
        <is>
          <t>12:06:40</t>
        </is>
      </c>
      <c r="B61" s="31" t="n">
        <v>7</v>
      </c>
      <c r="C61" s="32" t="n">
        <v>1361.98</v>
      </c>
      <c r="D61" s="32" t="n">
        <v>2000</v>
      </c>
      <c r="E61" s="32" t="n">
        <v>0.8</v>
      </c>
      <c r="F61" s="33" t="n">
        <v>99.94</v>
      </c>
      <c r="G61" s="34" t="n">
        <v>0.399</v>
      </c>
      <c r="H61" s="35" t="n">
        <v>0.511</v>
      </c>
      <c r="I61" s="32" t="n">
        <v>357.28</v>
      </c>
      <c r="J61" s="32" t="n">
        <v>261.98</v>
      </c>
      <c r="K61" t="inlineStr">
        <is>
          <t>2026-10-09 12:06:40+00:00</t>
        </is>
      </c>
    </row>
    <row r="62">
      <c r="A62" s="30" t="inlineStr">
        <is>
          <t>12:06:55</t>
        </is>
      </c>
      <c r="B62" s="31" t="n">
        <v>4</v>
      </c>
      <c r="C62" s="32" t="n">
        <v>1361.18</v>
      </c>
      <c r="D62" s="32" t="n">
        <v>10000</v>
      </c>
      <c r="E62" s="32" t="n">
        <v>1.36</v>
      </c>
      <c r="F62" s="33" t="n">
        <v>99.90000000000001</v>
      </c>
      <c r="G62" s="34" t="n">
        <v>0.3926</v>
      </c>
      <c r="H62" s="35" t="n">
        <v>0.487</v>
      </c>
      <c r="I62" s="32" t="n">
        <v>320.43</v>
      </c>
      <c r="J62" s="32" t="n">
        <v>229.2</v>
      </c>
      <c r="K62" t="inlineStr">
        <is>
          <t>2026-10-09 12:06:55+00:00</t>
        </is>
      </c>
    </row>
    <row r="63">
      <c r="A63" s="30" t="inlineStr">
        <is>
          <t>12:07:10</t>
        </is>
      </c>
      <c r="B63" s="31" t="n">
        <v>4</v>
      </c>
      <c r="C63" s="32" t="n">
        <v>1291.84</v>
      </c>
      <c r="D63" s="32" t="n">
        <v>10000</v>
      </c>
      <c r="E63" s="32" t="n">
        <v>2.02</v>
      </c>
      <c r="F63" s="33" t="n">
        <v>99.84</v>
      </c>
      <c r="G63" s="34" t="n">
        <v>0.3875</v>
      </c>
      <c r="H63" s="35" t="n">
        <v>0.582</v>
      </c>
      <c r="I63" s="32" t="n">
        <v>310.79</v>
      </c>
      <c r="J63" s="32" t="n">
        <v>217.88</v>
      </c>
      <c r="K63" t="inlineStr">
        <is>
          <t>2026-10-09 12:07:10+00:00</t>
        </is>
      </c>
    </row>
    <row r="64">
      <c r="A64" s="30" t="inlineStr">
        <is>
          <t>12:07:25</t>
        </is>
      </c>
      <c r="B64" s="31" t="n">
        <v>4</v>
      </c>
      <c r="C64" s="32" t="n">
        <v>1176.78</v>
      </c>
      <c r="D64" s="32" t="n">
        <v>10000</v>
      </c>
      <c r="E64" s="32" t="n">
        <v>95.54000000000001</v>
      </c>
      <c r="F64" s="33" t="n">
        <v>92.48999999999999</v>
      </c>
      <c r="G64" s="34" t="n">
        <v>0.4207</v>
      </c>
      <c r="H64" s="35" t="n">
        <v>0.952</v>
      </c>
      <c r="I64" s="32" t="n">
        <v>297.61</v>
      </c>
      <c r="J64" s="32" t="n">
        <v>210.46</v>
      </c>
      <c r="K64" t="inlineStr">
        <is>
          <t>2026-10-09 12:07:25+00:00</t>
        </is>
      </c>
    </row>
    <row r="65">
      <c r="A65" s="30" t="inlineStr">
        <is>
          <t>12:07:40</t>
        </is>
      </c>
      <c r="B65" s="31" t="n">
        <v>4</v>
      </c>
      <c r="C65" s="32" t="n">
        <v>932.59</v>
      </c>
      <c r="D65" s="32" t="n">
        <v>10000</v>
      </c>
      <c r="E65" s="32" t="n">
        <v>1287.72</v>
      </c>
      <c r="F65" s="33" t="n">
        <v>42</v>
      </c>
      <c r="G65" s="34" t="n">
        <v>0.4645</v>
      </c>
      <c r="H65" s="35" t="n">
        <v>3.526</v>
      </c>
      <c r="I65" s="32" t="n">
        <v>425.24</v>
      </c>
      <c r="J65" s="32" t="n">
        <v>334.83</v>
      </c>
      <c r="K65" t="inlineStr">
        <is>
          <t>2026-10-09 12:07:40+00:00</t>
        </is>
      </c>
    </row>
    <row r="66">
      <c r="A66" s="30" t="inlineStr">
        <is>
          <t>12:07:55</t>
        </is>
      </c>
      <c r="B66" s="31" t="n">
        <v>7</v>
      </c>
      <c r="C66" s="32" t="n">
        <v>1214.39</v>
      </c>
      <c r="D66" s="32" t="n">
        <v>10000</v>
      </c>
      <c r="E66" s="32" t="n">
        <v>1666.88</v>
      </c>
      <c r="F66" s="33" t="n">
        <v>42.15</v>
      </c>
      <c r="G66" s="34" t="n">
        <v>0.7458</v>
      </c>
      <c r="H66" s="35" t="n">
        <v>6.805</v>
      </c>
      <c r="I66" s="32" t="n">
        <v>470.25</v>
      </c>
      <c r="J66" s="32" t="n">
        <v>377.95</v>
      </c>
      <c r="K66" t="inlineStr">
        <is>
          <t>2026-10-09 12:07:55+00:00</t>
        </is>
      </c>
    </row>
    <row r="67">
      <c r="A67" s="30" t="inlineStr">
        <is>
          <t>12:08:10</t>
        </is>
      </c>
      <c r="B67" s="31" t="n">
        <v>7</v>
      </c>
      <c r="C67" s="32" t="n">
        <v>3637.59</v>
      </c>
      <c r="D67" s="32" t="n">
        <v>10000</v>
      </c>
      <c r="E67" s="32" t="n">
        <v>1604.53</v>
      </c>
      <c r="F67" s="33" t="n">
        <v>69.39</v>
      </c>
      <c r="G67" s="34" t="n">
        <v>0.9379</v>
      </c>
      <c r="H67" s="35" t="n">
        <v>6.83</v>
      </c>
      <c r="I67" s="32" t="n">
        <v>570.84</v>
      </c>
      <c r="J67" s="32" t="n">
        <v>457.62</v>
      </c>
      <c r="K67" t="inlineStr">
        <is>
          <t>2026-10-09 12:08:10+00:00</t>
        </is>
      </c>
    </row>
    <row r="68">
      <c r="A68" s="30" t="inlineStr">
        <is>
          <t>12:08:25</t>
        </is>
      </c>
      <c r="B68" s="31" t="n">
        <v>7</v>
      </c>
      <c r="C68" s="32" t="n">
        <v>5505.99</v>
      </c>
      <c r="D68" s="32" t="n">
        <v>10000</v>
      </c>
      <c r="E68" s="32" t="n">
        <v>661.13</v>
      </c>
      <c r="F68" s="33" t="n">
        <v>89.28</v>
      </c>
      <c r="G68" s="34" t="n">
        <v>0.8961</v>
      </c>
      <c r="H68" s="35" t="n">
        <v>5.76</v>
      </c>
      <c r="I68" s="32" t="n">
        <v>645.5700000000001</v>
      </c>
      <c r="J68" s="32" t="n">
        <v>530.67</v>
      </c>
      <c r="K68" t="inlineStr">
        <is>
          <t>2026-10-09 12:08:25+00:00</t>
        </is>
      </c>
    </row>
    <row r="69">
      <c r="A69" s="30" t="inlineStr">
        <is>
          <t>12:08:40</t>
        </is>
      </c>
      <c r="B69" s="31" t="n">
        <v>7</v>
      </c>
      <c r="C69" s="32" t="n">
        <v>6983.8</v>
      </c>
      <c r="D69" s="32" t="n">
        <v>10000</v>
      </c>
      <c r="E69" s="32" t="n">
        <v>87.33</v>
      </c>
      <c r="F69" s="33" t="n">
        <v>98.76000000000001</v>
      </c>
      <c r="G69" s="34" t="n">
        <v>0.8428</v>
      </c>
      <c r="H69" s="35" t="n">
        <v>3.727</v>
      </c>
      <c r="I69" s="32" t="n">
        <v>733.88</v>
      </c>
      <c r="J69" s="32" t="n">
        <v>616.05</v>
      </c>
      <c r="K69" t="inlineStr">
        <is>
          <t>2026-10-09 12:08:40+00:00</t>
        </is>
      </c>
    </row>
    <row r="70">
      <c r="A70" s="30" t="inlineStr">
        <is>
          <t>12:08:55</t>
        </is>
      </c>
      <c r="B70" s="31" t="n">
        <v>15</v>
      </c>
      <c r="C70" s="32" t="n">
        <v>5959.87</v>
      </c>
      <c r="D70" s="32" t="n">
        <v>10000</v>
      </c>
      <c r="E70" s="32" t="n">
        <v>34.82</v>
      </c>
      <c r="F70" s="33" t="n">
        <v>99.42</v>
      </c>
      <c r="G70" s="34" t="n">
        <v>0.4469</v>
      </c>
      <c r="H70" s="35" t="n">
        <v>3.054</v>
      </c>
      <c r="I70" s="32" t="n">
        <v>754.5</v>
      </c>
      <c r="J70" s="32" t="n">
        <v>635.36</v>
      </c>
      <c r="K70" t="inlineStr">
        <is>
          <t>2026-10-09 12:08:55+00:00</t>
        </is>
      </c>
    </row>
    <row r="71">
      <c r="A71" s="30" t="inlineStr">
        <is>
          <t>12:09:10</t>
        </is>
      </c>
      <c r="B71" s="31" t="n">
        <v>15</v>
      </c>
      <c r="C71" s="32" t="n">
        <v>5700.11</v>
      </c>
      <c r="D71" s="32" t="n">
        <v>10000</v>
      </c>
      <c r="E71" s="32" t="n">
        <v>15.18</v>
      </c>
      <c r="F71" s="33" t="n">
        <v>99.73</v>
      </c>
      <c r="G71" s="34" t="n">
        <v>0.2644</v>
      </c>
      <c r="H71" s="35" t="n">
        <v>2.217</v>
      </c>
      <c r="I71" s="32" t="n">
        <v>764.3</v>
      </c>
      <c r="J71" s="32" t="n">
        <v>643.79</v>
      </c>
      <c r="K71" t="inlineStr">
        <is>
          <t>2026-10-09 12:09:10+00:00</t>
        </is>
      </c>
    </row>
    <row r="72">
      <c r="A72" s="30" t="inlineStr">
        <is>
          <t>12:09:25</t>
        </is>
      </c>
      <c r="B72" s="31" t="n">
        <v>15</v>
      </c>
      <c r="C72" s="32" t="n">
        <v>5582.09</v>
      </c>
      <c r="D72" s="32" t="n">
        <v>10000</v>
      </c>
      <c r="E72" s="32" t="n">
        <v>14.31</v>
      </c>
      <c r="F72" s="33" t="n">
        <v>99.73999999999999</v>
      </c>
      <c r="G72" s="34" t="n">
        <v>0.1992</v>
      </c>
      <c r="H72" s="35" t="n">
        <v>2.067</v>
      </c>
      <c r="I72" s="32" t="n">
        <v>763.29</v>
      </c>
      <c r="J72" s="32" t="n">
        <v>641.29</v>
      </c>
      <c r="K72" t="inlineStr">
        <is>
          <t>2026-10-09 12:09:25+00:00</t>
        </is>
      </c>
    </row>
    <row r="73">
      <c r="A73" s="30" t="inlineStr">
        <is>
          <t>12:09:40</t>
        </is>
      </c>
      <c r="B73" s="31" t="n">
        <v>15</v>
      </c>
      <c r="C73" s="32" t="n">
        <v>5503.56</v>
      </c>
      <c r="D73" s="32" t="n">
        <v>10000</v>
      </c>
      <c r="E73" s="32" t="n">
        <v>12.51</v>
      </c>
      <c r="F73" s="33" t="n">
        <v>99.77</v>
      </c>
      <c r="G73" s="34" t="n">
        <v>0.133</v>
      </c>
      <c r="H73" s="35" t="n">
        <v>2.084</v>
      </c>
      <c r="I73" s="32" t="n">
        <v>773.1</v>
      </c>
      <c r="J73" s="32" t="n">
        <v>648.77</v>
      </c>
      <c r="K73" t="inlineStr">
        <is>
          <t>2026-10-09 12:09:40+00:00</t>
        </is>
      </c>
    </row>
    <row r="74">
      <c r="A74" s="30" t="inlineStr">
        <is>
          <t>12:09:55</t>
        </is>
      </c>
      <c r="B74" s="31" t="n">
        <v>15</v>
      </c>
      <c r="C74" s="32" t="n">
        <v>5435.29</v>
      </c>
      <c r="D74" s="32" t="n">
        <v>10000</v>
      </c>
      <c r="E74" s="32" t="n">
        <v>9.109999999999999</v>
      </c>
      <c r="F74" s="33" t="n">
        <v>99.83</v>
      </c>
      <c r="G74" s="34" t="n">
        <v>0.1375</v>
      </c>
      <c r="H74" s="35" t="n">
        <v>2.259</v>
      </c>
      <c r="I74" s="32" t="n">
        <v>783.02</v>
      </c>
      <c r="J74" s="32" t="n">
        <v>657.4</v>
      </c>
      <c r="K74" t="inlineStr">
        <is>
          <t>2026-10-09 12:09:55+00:00</t>
        </is>
      </c>
    </row>
    <row r="75">
      <c r="A75" s="30" t="inlineStr">
        <is>
          <t>12:10:10</t>
        </is>
      </c>
      <c r="B75" s="31" t="n">
        <v>15</v>
      </c>
      <c r="C75" s="32" t="n">
        <v>5544.49</v>
      </c>
      <c r="D75" s="32" t="n">
        <v>10000</v>
      </c>
      <c r="E75" s="32" t="n">
        <v>4.6</v>
      </c>
      <c r="F75" s="33" t="n">
        <v>99.92</v>
      </c>
      <c r="G75" s="34" t="n">
        <v>0.1895</v>
      </c>
      <c r="H75" s="35" t="n">
        <v>2.065</v>
      </c>
      <c r="I75" s="32" t="n">
        <v>787.96</v>
      </c>
      <c r="J75" s="32" t="n">
        <v>660.8200000000001</v>
      </c>
      <c r="K75" t="inlineStr">
        <is>
          <t>2026-10-09 12:10:10+00:00</t>
        </is>
      </c>
    </row>
    <row r="76">
      <c r="A76" s="30" t="inlineStr">
        <is>
          <t>12:10:25</t>
        </is>
      </c>
      <c r="B76" s="31" t="n">
        <v>15</v>
      </c>
      <c r="C76" s="32" t="n">
        <v>5581.82</v>
      </c>
      <c r="D76" s="32" t="n">
        <v>10000</v>
      </c>
      <c r="E76" s="32" t="n">
        <v>2.51</v>
      </c>
      <c r="F76" s="33" t="n">
        <v>99.95999999999999</v>
      </c>
      <c r="G76" s="34" t="n">
        <v>0.1786</v>
      </c>
      <c r="H76" s="35" t="n">
        <v>2.146</v>
      </c>
      <c r="I76" s="32" t="n">
        <v>789.9299999999999</v>
      </c>
      <c r="J76" s="32" t="n">
        <v>659.9299999999999</v>
      </c>
      <c r="K76" t="inlineStr">
        <is>
          <t>2026-10-09 12:10:25+00:00</t>
        </is>
      </c>
    </row>
    <row r="77">
      <c r="A77" s="30" t="inlineStr">
        <is>
          <t>12:10:40</t>
        </is>
      </c>
      <c r="B77" s="31" t="n">
        <v>15</v>
      </c>
      <c r="C77" s="32" t="n">
        <v>5592.64</v>
      </c>
      <c r="D77" s="32" t="n">
        <v>10000</v>
      </c>
      <c r="E77" s="32" t="n">
        <v>1.67</v>
      </c>
      <c r="F77" s="33" t="n">
        <v>99.97</v>
      </c>
      <c r="G77" s="34" t="n">
        <v>0.1751</v>
      </c>
      <c r="H77" s="35" t="n">
        <v>1.814</v>
      </c>
      <c r="I77" s="32" t="n">
        <v>789.96</v>
      </c>
      <c r="J77" s="32" t="n">
        <v>657.29</v>
      </c>
      <c r="K77" t="inlineStr">
        <is>
          <t>2026-10-09 12:10:40+00:00</t>
        </is>
      </c>
    </row>
    <row r="78">
      <c r="A78" s="30" t="inlineStr">
        <is>
          <t>12:10:55</t>
        </is>
      </c>
      <c r="B78" s="31" t="n">
        <v>15</v>
      </c>
      <c r="C78" s="32" t="n">
        <v>5672.51</v>
      </c>
      <c r="D78" s="32" t="n">
        <v>10000</v>
      </c>
      <c r="E78" s="32" t="n">
        <v>1.6</v>
      </c>
      <c r="F78" s="33" t="n">
        <v>99.97</v>
      </c>
      <c r="G78" s="34" t="n">
        <v>0.2007</v>
      </c>
      <c r="H78" s="35" t="n">
        <v>2.025</v>
      </c>
      <c r="I78" s="32" t="n">
        <v>790.63</v>
      </c>
      <c r="J78" s="32" t="n">
        <v>656.8099999999999</v>
      </c>
      <c r="K78" t="inlineStr">
        <is>
          <t>2026-10-09 12:10:55+00:00</t>
        </is>
      </c>
    </row>
    <row r="79">
      <c r="A79" s="30" t="inlineStr">
        <is>
          <t>12:11:10</t>
        </is>
      </c>
      <c r="B79" s="31" t="n">
        <v>15</v>
      </c>
      <c r="C79" s="32" t="n">
        <v>5594.16</v>
      </c>
      <c r="D79" s="32" t="n">
        <v>10000</v>
      </c>
      <c r="E79" s="32" t="n">
        <v>1.36</v>
      </c>
      <c r="F79" s="33" t="n">
        <v>99.98</v>
      </c>
      <c r="G79" s="34" t="n">
        <v>0.1659</v>
      </c>
      <c r="H79" s="35" t="n">
        <v>1.461</v>
      </c>
      <c r="I79" s="32" t="n">
        <v>792.37</v>
      </c>
      <c r="J79" s="32" t="n">
        <v>655.92</v>
      </c>
      <c r="K79" t="inlineStr">
        <is>
          <t>2026-10-09 12:11:10+00:00</t>
        </is>
      </c>
    </row>
    <row r="80">
      <c r="A80" s="30" t="inlineStr">
        <is>
          <t>12:11:25</t>
        </is>
      </c>
      <c r="B80" s="31" t="n">
        <v>15</v>
      </c>
      <c r="C80" s="32" t="n">
        <v>5494.44</v>
      </c>
      <c r="D80" s="32" t="n">
        <v>10000</v>
      </c>
      <c r="E80" s="32" t="n">
        <v>1.27</v>
      </c>
      <c r="F80" s="33" t="n">
        <v>99.98</v>
      </c>
      <c r="G80" s="34" t="n">
        <v>0.115</v>
      </c>
      <c r="H80" s="35" t="n">
        <v>1.873</v>
      </c>
      <c r="I80" s="32" t="n">
        <v>795.14</v>
      </c>
      <c r="J80" s="32" t="n">
        <v>656.8</v>
      </c>
      <c r="K80" t="inlineStr">
        <is>
          <t>2026-10-09 12:11:25+00:00</t>
        </is>
      </c>
    </row>
    <row r="81">
      <c r="A81" s="30" t="inlineStr">
        <is>
          <t>12:11:40</t>
        </is>
      </c>
      <c r="B81" s="31" t="n">
        <v>15</v>
      </c>
      <c r="C81" s="32" t="n">
        <v>5423.42</v>
      </c>
      <c r="D81" s="32" t="n">
        <v>10000</v>
      </c>
      <c r="E81" s="32" t="n">
        <v>1.33</v>
      </c>
      <c r="F81" s="33" t="n">
        <v>99.98</v>
      </c>
      <c r="G81" s="34" t="n">
        <v>0.0839</v>
      </c>
      <c r="H81" s="35" t="n">
        <v>1.829</v>
      </c>
      <c r="I81" s="32" t="n">
        <v>800.3</v>
      </c>
      <c r="J81" s="32" t="n">
        <v>660.52</v>
      </c>
      <c r="K81" t="inlineStr">
        <is>
          <t>2026-10-09 12:11:40+00:00</t>
        </is>
      </c>
    </row>
    <row r="82">
      <c r="A82" s="30" t="inlineStr">
        <is>
          <t>12:11:55</t>
        </is>
      </c>
      <c r="B82" s="31" t="n">
        <v>15</v>
      </c>
      <c r="C82" s="32" t="n">
        <v>5508.67</v>
      </c>
      <c r="D82" s="32" t="n">
        <v>10000</v>
      </c>
      <c r="E82" s="32" t="n">
        <v>1.73</v>
      </c>
      <c r="F82" s="33" t="n">
        <v>99.97</v>
      </c>
      <c r="G82" s="34" t="n">
        <v>0.1322</v>
      </c>
      <c r="H82" s="35" t="n">
        <v>2.16</v>
      </c>
      <c r="I82" s="32" t="n">
        <v>808.76</v>
      </c>
      <c r="J82" s="32" t="n">
        <v>667.37</v>
      </c>
      <c r="K82" t="inlineStr">
        <is>
          <t>2026-10-09 12:11:55+00:00</t>
        </is>
      </c>
    </row>
    <row r="83">
      <c r="A83" s="30" t="inlineStr">
        <is>
          <t>12:12:10</t>
        </is>
      </c>
      <c r="B83" s="31" t="n">
        <v>15</v>
      </c>
      <c r="C83" s="32" t="n">
        <v>5665.47</v>
      </c>
      <c r="D83" s="32" t="n">
        <v>12000</v>
      </c>
      <c r="E83" s="32" t="n">
        <v>2.24</v>
      </c>
      <c r="F83" s="33" t="n">
        <v>99.95999999999999</v>
      </c>
      <c r="G83" s="34" t="n">
        <v>0.1922</v>
      </c>
      <c r="H83" s="35" t="n">
        <v>2.122</v>
      </c>
      <c r="I83" s="32" t="n">
        <v>819.34</v>
      </c>
      <c r="J83" s="32" t="n">
        <v>673.04</v>
      </c>
      <c r="K83" t="inlineStr">
        <is>
          <t>2026-10-09 12:12:10+00:00</t>
        </is>
      </c>
    </row>
    <row r="84">
      <c r="A84" s="30" t="inlineStr">
        <is>
          <t>12:12:25</t>
        </is>
      </c>
      <c r="B84" s="31" t="n">
        <v>15</v>
      </c>
      <c r="C84" s="32" t="n">
        <v>5724.13</v>
      </c>
      <c r="D84" s="32" t="n">
        <v>12000</v>
      </c>
      <c r="E84" s="32" t="n">
        <v>4.62</v>
      </c>
      <c r="F84" s="33" t="n">
        <v>99.92</v>
      </c>
      <c r="G84" s="34" t="n">
        <v>0.2309</v>
      </c>
      <c r="H84" s="35" t="n">
        <v>2.573</v>
      </c>
      <c r="I84" s="32" t="n">
        <v>823.4400000000001</v>
      </c>
      <c r="J84" s="32" t="n">
        <v>675.71</v>
      </c>
      <c r="K84" t="inlineStr">
        <is>
          <t>2026-10-09 12:12:25+00:00</t>
        </is>
      </c>
    </row>
    <row r="85">
      <c r="A85" s="30" t="inlineStr">
        <is>
          <t>12:12:40</t>
        </is>
      </c>
      <c r="B85" s="31" t="n">
        <v>15</v>
      </c>
      <c r="C85" s="32" t="n">
        <v>6266.3</v>
      </c>
      <c r="D85" s="32" t="n">
        <v>12000</v>
      </c>
      <c r="E85" s="32" t="n">
        <v>7.74</v>
      </c>
      <c r="F85" s="33" t="n">
        <v>99.88</v>
      </c>
      <c r="G85" s="34" t="n">
        <v>0.2406</v>
      </c>
      <c r="H85" s="35" t="n">
        <v>3.356</v>
      </c>
      <c r="I85" s="32" t="n">
        <v>831.05</v>
      </c>
      <c r="J85" s="32" t="n">
        <v>680.16</v>
      </c>
      <c r="K85" t="inlineStr">
        <is>
          <t>2026-10-09 12:12:40+00:00</t>
        </is>
      </c>
    </row>
    <row r="86">
      <c r="A86" s="30" t="inlineStr">
        <is>
          <t>12:12:55</t>
        </is>
      </c>
      <c r="B86" s="31" t="n">
        <v>15</v>
      </c>
      <c r="C86" s="32" t="n">
        <v>6538.44</v>
      </c>
      <c r="D86" s="32" t="n">
        <v>12000</v>
      </c>
      <c r="E86" s="32" t="n">
        <v>7.89</v>
      </c>
      <c r="F86" s="33" t="n">
        <v>99.88</v>
      </c>
      <c r="G86" s="34" t="n">
        <v>0.2234</v>
      </c>
      <c r="H86" s="35" t="n">
        <v>3.784</v>
      </c>
      <c r="I86" s="32" t="n">
        <v>847.7</v>
      </c>
      <c r="J86" s="32" t="n">
        <v>692.6</v>
      </c>
      <c r="K86" t="inlineStr">
        <is>
          <t>2026-10-09 12:12:55+00:00</t>
        </is>
      </c>
    </row>
    <row r="87">
      <c r="A87" s="30" t="inlineStr">
        <is>
          <t>12:13:10</t>
        </is>
      </c>
      <c r="B87" s="31" t="n">
        <v>15</v>
      </c>
      <c r="C87" s="32" t="n">
        <v>6719.82</v>
      </c>
      <c r="D87" s="32" t="n">
        <v>12000</v>
      </c>
      <c r="E87" s="32" t="n">
        <v>6.36</v>
      </c>
      <c r="F87" s="33" t="n">
        <v>99.91</v>
      </c>
      <c r="G87" s="34" t="n">
        <v>0.2145</v>
      </c>
      <c r="H87" s="35" t="n">
        <v>3.094</v>
      </c>
      <c r="I87" s="32" t="n">
        <v>848.12</v>
      </c>
      <c r="J87" s="32" t="n">
        <v>690.53</v>
      </c>
      <c r="K87" t="inlineStr">
        <is>
          <t>2026-10-09 12:13:10+00:00</t>
        </is>
      </c>
    </row>
    <row r="88">
      <c r="A88" s="30" t="inlineStr">
        <is>
          <t>12:13:25</t>
        </is>
      </c>
      <c r="B88" s="31" t="n">
        <v>15</v>
      </c>
      <c r="C88" s="32" t="n">
        <v>6728.2</v>
      </c>
      <c r="D88" s="32" t="n">
        <v>12000</v>
      </c>
      <c r="E88" s="32" t="n">
        <v>4</v>
      </c>
      <c r="F88" s="33" t="n">
        <v>99.94</v>
      </c>
      <c r="G88" s="34" t="n">
        <v>0.1987</v>
      </c>
      <c r="H88" s="35" t="n">
        <v>2.543</v>
      </c>
      <c r="I88" s="32" t="n">
        <v>851.63</v>
      </c>
      <c r="J88" s="32" t="n">
        <v>690.52</v>
      </c>
      <c r="K88" t="inlineStr">
        <is>
          <t>2026-10-09 12:13:25+00:00</t>
        </is>
      </c>
    </row>
    <row r="89">
      <c r="A89" s="30" t="inlineStr">
        <is>
          <t>12:13:40</t>
        </is>
      </c>
      <c r="B89" s="31" t="n">
        <v>15</v>
      </c>
      <c r="C89" s="32" t="n">
        <v>6657.09</v>
      </c>
      <c r="D89" s="32" t="n">
        <v>12000</v>
      </c>
      <c r="E89" s="32" t="n">
        <v>4.07</v>
      </c>
      <c r="F89" s="33" t="n">
        <v>99.94</v>
      </c>
      <c r="G89" s="34" t="n">
        <v>0.1974</v>
      </c>
      <c r="H89" s="35" t="n">
        <v>2.531</v>
      </c>
      <c r="I89" s="32" t="n">
        <v>863.0700000000001</v>
      </c>
      <c r="J89" s="32" t="n">
        <v>698.95</v>
      </c>
      <c r="K89" t="inlineStr">
        <is>
          <t>2026-10-09 12:13:40+00:00</t>
        </is>
      </c>
    </row>
    <row r="90">
      <c r="A90" s="30" t="inlineStr">
        <is>
          <t>12:13:55</t>
        </is>
      </c>
      <c r="B90" s="31" t="n">
        <v>15</v>
      </c>
      <c r="C90" s="32" t="n">
        <v>6668.04</v>
      </c>
      <c r="D90" s="32" t="n">
        <v>12000</v>
      </c>
      <c r="E90" s="32" t="n">
        <v>3.89</v>
      </c>
      <c r="F90" s="33" t="n">
        <v>99.94</v>
      </c>
      <c r="G90" s="34" t="n">
        <v>0.1916</v>
      </c>
      <c r="H90" s="35" t="n">
        <v>2.773</v>
      </c>
      <c r="I90" s="32" t="n">
        <v>869.84</v>
      </c>
      <c r="J90" s="32" t="n">
        <v>705.41</v>
      </c>
      <c r="K90" t="inlineStr">
        <is>
          <t>2026-10-09 12:13:55+00:00</t>
        </is>
      </c>
    </row>
    <row r="91">
      <c r="A91" s="30" t="inlineStr">
        <is>
          <t>12:14:10</t>
        </is>
      </c>
      <c r="B91" s="31" t="n">
        <v>15</v>
      </c>
      <c r="C91" s="32" t="n">
        <v>6526.64</v>
      </c>
      <c r="D91" s="32" t="n">
        <v>12000</v>
      </c>
      <c r="E91" s="32" t="n">
        <v>3.47</v>
      </c>
      <c r="F91" s="33" t="n">
        <v>99.95</v>
      </c>
      <c r="G91" s="34" t="n">
        <v>0.147</v>
      </c>
      <c r="H91" s="35" t="n">
        <v>2.52</v>
      </c>
      <c r="I91" s="32" t="n">
        <v>883.67</v>
      </c>
      <c r="J91" s="32" t="n">
        <v>715.21</v>
      </c>
      <c r="K91" t="inlineStr">
        <is>
          <t>2026-10-09 12:14:10+00:00</t>
        </is>
      </c>
    </row>
    <row r="92">
      <c r="A92" s="30" t="inlineStr">
        <is>
          <t>12:14:25</t>
        </is>
      </c>
      <c r="B92" s="31" t="n">
        <v>15</v>
      </c>
      <c r="C92" s="32" t="n">
        <v>6569.49</v>
      </c>
      <c r="D92" s="32" t="n">
        <v>12000</v>
      </c>
      <c r="E92" s="32" t="n">
        <v>3.4</v>
      </c>
      <c r="F92" s="33" t="n">
        <v>99.95</v>
      </c>
      <c r="G92" s="34" t="n">
        <v>0.1535</v>
      </c>
      <c r="H92" s="35" t="n">
        <v>2.508</v>
      </c>
      <c r="I92" s="32" t="n">
        <v>884.63</v>
      </c>
      <c r="J92" s="32" t="n">
        <v>714.25</v>
      </c>
      <c r="K92" t="inlineStr">
        <is>
          <t>2026-10-09 12:14:25+00:00</t>
        </is>
      </c>
    </row>
    <row r="93">
      <c r="A93" s="30" t="inlineStr">
        <is>
          <t>12:14:40</t>
        </is>
      </c>
      <c r="B93" s="31" t="n">
        <v>15</v>
      </c>
      <c r="C93" s="32" t="n">
        <v>6490.27</v>
      </c>
      <c r="D93" s="32" t="n">
        <v>12000</v>
      </c>
      <c r="E93" s="32" t="n">
        <v>3.22</v>
      </c>
      <c r="F93" s="33" t="n">
        <v>99.95</v>
      </c>
      <c r="G93" s="34" t="n">
        <v>0.1735</v>
      </c>
      <c r="H93" s="35" t="n">
        <v>2.477</v>
      </c>
      <c r="I93" s="32" t="n">
        <v>885.04</v>
      </c>
      <c r="J93" s="32" t="n">
        <v>711.7</v>
      </c>
      <c r="K93" t="inlineStr">
        <is>
          <t>2026-10-09 12:14:40+00:00</t>
        </is>
      </c>
    </row>
    <row r="94">
      <c r="A94" s="30" t="inlineStr">
        <is>
          <t>12:14:55</t>
        </is>
      </c>
      <c r="B94" s="31" t="n">
        <v>15</v>
      </c>
      <c r="C94" s="32" t="n">
        <v>6554.53</v>
      </c>
      <c r="D94" s="32" t="n">
        <v>12000</v>
      </c>
      <c r="E94" s="32" t="n">
        <v>3.38</v>
      </c>
      <c r="F94" s="33" t="n">
        <v>99.95</v>
      </c>
      <c r="G94" s="34" t="n">
        <v>0.2108</v>
      </c>
      <c r="H94" s="35" t="n">
        <v>2.376</v>
      </c>
      <c r="I94" s="32" t="n">
        <v>887.12</v>
      </c>
      <c r="J94" s="32" t="n">
        <v>711.01</v>
      </c>
      <c r="K94" t="inlineStr">
        <is>
          <t>2026-10-09 12:14:55+00:00</t>
        </is>
      </c>
    </row>
    <row r="95">
      <c r="A95" s="30" t="inlineStr">
        <is>
          <t>12:15:10</t>
        </is>
      </c>
      <c r="B95" s="31" t="n">
        <v>15</v>
      </c>
      <c r="C95" s="32" t="n">
        <v>6653.73</v>
      </c>
      <c r="D95" s="32" t="n">
        <v>12000</v>
      </c>
      <c r="E95" s="32" t="n">
        <v>2.71</v>
      </c>
      <c r="F95" s="33" t="n">
        <v>99.95999999999999</v>
      </c>
      <c r="G95" s="34" t="n">
        <v>0.2443</v>
      </c>
      <c r="H95" s="35" t="n">
        <v>2.265</v>
      </c>
      <c r="I95" s="32" t="n">
        <v>888.6799999999999</v>
      </c>
      <c r="J95" s="32" t="n">
        <v>709.59</v>
      </c>
      <c r="K95" t="inlineStr">
        <is>
          <t>2026-10-09 12:15:10+00:00</t>
        </is>
      </c>
    </row>
    <row r="96">
      <c r="A96" s="30" t="inlineStr">
        <is>
          <t>12:15:25</t>
        </is>
      </c>
      <c r="B96" s="31" t="n">
        <v>15</v>
      </c>
      <c r="C96" s="32" t="n">
        <v>6716.47</v>
      </c>
      <c r="D96" s="32" t="n">
        <v>12000</v>
      </c>
      <c r="E96" s="32" t="n">
        <v>2.58</v>
      </c>
      <c r="F96" s="33" t="n">
        <v>99.95999999999999</v>
      </c>
      <c r="G96" s="34" t="n">
        <v>0.249</v>
      </c>
      <c r="H96" s="35" t="n">
        <v>2.072</v>
      </c>
      <c r="I96" s="32" t="n">
        <v>890.91</v>
      </c>
      <c r="J96" s="32" t="n">
        <v>708.12</v>
      </c>
      <c r="K96" t="inlineStr">
        <is>
          <t>2026-10-09 12:15:25+00:00</t>
        </is>
      </c>
    </row>
    <row r="97">
      <c r="A97" s="30" t="inlineStr">
        <is>
          <t>12:15:40</t>
        </is>
      </c>
      <c r="B97" s="31" t="n">
        <v>15</v>
      </c>
      <c r="C97" s="32" t="n">
        <v>6957.31</v>
      </c>
      <c r="D97" s="32" t="n">
        <v>12000</v>
      </c>
      <c r="E97" s="32" t="n">
        <v>2.47</v>
      </c>
      <c r="F97" s="33" t="n">
        <v>99.95999999999999</v>
      </c>
      <c r="G97" s="34" t="n">
        <v>0.2813</v>
      </c>
      <c r="H97" s="35" t="n">
        <v>2.104</v>
      </c>
      <c r="I97" s="32" t="n">
        <v>895.1900000000001</v>
      </c>
      <c r="J97" s="32" t="n">
        <v>708.8200000000001</v>
      </c>
      <c r="K97" t="inlineStr">
        <is>
          <t>2026-10-09 12:15:40+00:00</t>
        </is>
      </c>
    </row>
    <row r="98">
      <c r="A98" s="30" t="inlineStr">
        <is>
          <t>12:15:55</t>
        </is>
      </c>
      <c r="B98" s="31" t="n">
        <v>15</v>
      </c>
      <c r="C98" s="32" t="n">
        <v>6987.6</v>
      </c>
      <c r="D98" s="32" t="n">
        <v>12000</v>
      </c>
      <c r="E98" s="32" t="n">
        <v>3.13</v>
      </c>
      <c r="F98" s="33" t="n">
        <v>99.95999999999999</v>
      </c>
      <c r="G98" s="34" t="n">
        <v>0.2921</v>
      </c>
      <c r="H98" s="35" t="n">
        <v>2.746</v>
      </c>
      <c r="I98" s="32" t="n">
        <v>901.01</v>
      </c>
      <c r="J98" s="32" t="n">
        <v>711.1900000000001</v>
      </c>
      <c r="K98" t="inlineStr">
        <is>
          <t>2026-10-09 12:15:55+00:00</t>
        </is>
      </c>
    </row>
    <row r="99">
      <c r="A99" s="30" t="inlineStr">
        <is>
          <t>12:16:10</t>
        </is>
      </c>
      <c r="B99" s="31" t="n">
        <v>15</v>
      </c>
      <c r="C99" s="32" t="n">
        <v>7197.76</v>
      </c>
      <c r="D99" s="32" t="n">
        <v>12000</v>
      </c>
      <c r="E99" s="32" t="n">
        <v>3.07</v>
      </c>
      <c r="F99" s="33" t="n">
        <v>99.95999999999999</v>
      </c>
      <c r="G99" s="34" t="n">
        <v>0.3139</v>
      </c>
      <c r="H99" s="35" t="n">
        <v>2.321</v>
      </c>
      <c r="I99" s="32" t="n">
        <v>904.04</v>
      </c>
      <c r="J99" s="32" t="n">
        <v>710.6900000000001</v>
      </c>
      <c r="K99" t="inlineStr">
        <is>
          <t>2026-10-09 12:16:10+00:00</t>
        </is>
      </c>
    </row>
    <row r="100">
      <c r="A100" s="30" t="inlineStr">
        <is>
          <t>12:16:25</t>
        </is>
      </c>
      <c r="B100" s="31" t="n">
        <v>15</v>
      </c>
      <c r="C100" s="32" t="n">
        <v>7083.42</v>
      </c>
      <c r="D100" s="32" t="n">
        <v>12000</v>
      </c>
      <c r="E100" s="32" t="n">
        <v>3.13</v>
      </c>
      <c r="F100" s="33" t="n">
        <v>99.95999999999999</v>
      </c>
      <c r="G100" s="34" t="n">
        <v>0.2908</v>
      </c>
      <c r="H100" s="35" t="n">
        <v>2.667</v>
      </c>
      <c r="I100" s="32" t="n">
        <v>906.3099999999999</v>
      </c>
      <c r="J100" s="32" t="n">
        <v>709.4400000000001</v>
      </c>
      <c r="K100" t="inlineStr">
        <is>
          <t>2026-10-09 12:16:25+00:00</t>
        </is>
      </c>
    </row>
    <row r="101">
      <c r="A101" s="30" t="inlineStr">
        <is>
          <t>12:16:40</t>
        </is>
      </c>
      <c r="B101" s="31" t="n">
        <v>15</v>
      </c>
      <c r="C101" s="32" t="n">
        <v>7166.13</v>
      </c>
      <c r="D101" s="32" t="n">
        <v>12000</v>
      </c>
      <c r="E101" s="32" t="n">
        <v>3.22</v>
      </c>
      <c r="F101" s="33" t="n">
        <v>99.95999999999999</v>
      </c>
      <c r="G101" s="34" t="n">
        <v>0.3064</v>
      </c>
      <c r="H101" s="35" t="n">
        <v>2.455</v>
      </c>
      <c r="I101" s="32" t="n">
        <v>904.77</v>
      </c>
      <c r="J101" s="32" t="n">
        <v>706.4400000000001</v>
      </c>
      <c r="K101" t="inlineStr">
        <is>
          <t>2026-10-09 12:16:40+00:00</t>
        </is>
      </c>
    </row>
    <row r="102">
      <c r="A102" s="30" t="inlineStr">
        <is>
          <t>12:16:55</t>
        </is>
      </c>
      <c r="B102" s="31" t="n">
        <v>15</v>
      </c>
      <c r="C102" s="32" t="n">
        <v>7154.13</v>
      </c>
      <c r="D102" s="32" t="n">
        <v>12000</v>
      </c>
      <c r="E102" s="32" t="n">
        <v>3.24</v>
      </c>
      <c r="F102" s="33" t="n">
        <v>99.95</v>
      </c>
      <c r="G102" s="34" t="n">
        <v>0.3084</v>
      </c>
      <c r="H102" s="35" t="n">
        <v>2.609</v>
      </c>
      <c r="I102" s="32" t="n">
        <v>910.37</v>
      </c>
      <c r="J102" s="32" t="n">
        <v>706.0700000000001</v>
      </c>
      <c r="K102" t="inlineStr">
        <is>
          <t>2026-10-09 12:16:55+00:00</t>
        </is>
      </c>
    </row>
    <row r="103">
      <c r="A103" s="30" t="inlineStr">
        <is>
          <t>12:17:10</t>
        </is>
      </c>
      <c r="B103" s="31" t="n">
        <v>15</v>
      </c>
      <c r="C103" s="32" t="n">
        <v>7170.9</v>
      </c>
      <c r="D103" s="32" t="n">
        <v>8000</v>
      </c>
      <c r="E103" s="32" t="n">
        <v>3.4</v>
      </c>
      <c r="F103" s="33" t="n">
        <v>99.95</v>
      </c>
      <c r="G103" s="34" t="n">
        <v>0.3391</v>
      </c>
      <c r="H103" s="35" t="n">
        <v>2.436</v>
      </c>
      <c r="I103" s="32" t="n">
        <v>912.5700000000001</v>
      </c>
      <c r="J103" s="32" t="n">
        <v>705.37</v>
      </c>
      <c r="K103" t="inlineStr">
        <is>
          <t>2026-10-09 12:17:10+00:00</t>
        </is>
      </c>
    </row>
    <row r="104">
      <c r="A104" s="30" t="inlineStr">
        <is>
          <t>12:17:25</t>
        </is>
      </c>
      <c r="B104" s="31" t="n">
        <v>15</v>
      </c>
      <c r="C104" s="32" t="n">
        <v>6503.71</v>
      </c>
      <c r="D104" s="32" t="n">
        <v>8000</v>
      </c>
      <c r="E104" s="32" t="n">
        <v>2.79</v>
      </c>
      <c r="F104" s="33" t="n">
        <v>99.95999999999999</v>
      </c>
      <c r="G104" s="34" t="n">
        <v>0.3508</v>
      </c>
      <c r="H104" s="35" t="n">
        <v>2.467</v>
      </c>
      <c r="I104" s="32" t="n">
        <v>915.55</v>
      </c>
      <c r="J104" s="32" t="n">
        <v>704.96</v>
      </c>
      <c r="K104" t="inlineStr">
        <is>
          <t>2026-10-09 12:17:25+00:00</t>
        </is>
      </c>
    </row>
    <row r="105">
      <c r="A105" s="30" t="inlineStr">
        <is>
          <t>12:17:40</t>
        </is>
      </c>
      <c r="B105" s="31" t="n">
        <v>15</v>
      </c>
      <c r="C105" s="32" t="n">
        <v>5806.4</v>
      </c>
      <c r="D105" s="32" t="n">
        <v>8000</v>
      </c>
      <c r="E105" s="32" t="n">
        <v>2.63</v>
      </c>
      <c r="F105" s="33" t="n">
        <v>99.95</v>
      </c>
      <c r="G105" s="34" t="n">
        <v>0.3568</v>
      </c>
      <c r="H105" s="35" t="n">
        <v>2.26</v>
      </c>
      <c r="I105" s="32" t="n">
        <v>916.12</v>
      </c>
      <c r="J105" s="32" t="n">
        <v>702.5599999999999</v>
      </c>
      <c r="K105" t="inlineStr">
        <is>
          <t>2026-10-09 12:17:40+00:00</t>
        </is>
      </c>
    </row>
    <row r="106">
      <c r="A106" s="30" t="inlineStr">
        <is>
          <t>12:17:55</t>
        </is>
      </c>
      <c r="B106" s="31" t="n">
        <v>15</v>
      </c>
      <c r="C106" s="32" t="n">
        <v>4997.69</v>
      </c>
      <c r="D106" s="32" t="n">
        <v>8000</v>
      </c>
      <c r="E106" s="32" t="n">
        <v>2.31</v>
      </c>
      <c r="F106" s="33" t="n">
        <v>99.95</v>
      </c>
      <c r="G106" s="34" t="n">
        <v>0.3811</v>
      </c>
      <c r="H106" s="35" t="n">
        <v>2.49</v>
      </c>
      <c r="I106" s="32" t="n">
        <v>912.11</v>
      </c>
      <c r="J106" s="32" t="n">
        <v>696.16</v>
      </c>
      <c r="K106" t="inlineStr">
        <is>
          <t>2026-10-09 12:17:55+00:00</t>
        </is>
      </c>
    </row>
    <row r="107">
      <c r="A107" s="30" t="inlineStr">
        <is>
          <t>12:18:10</t>
        </is>
      </c>
      <c r="B107" s="31" t="n">
        <v>15</v>
      </c>
      <c r="C107" s="32" t="n">
        <v>4904.56</v>
      </c>
      <c r="D107" s="32" t="n">
        <v>8000</v>
      </c>
      <c r="E107" s="32" t="n">
        <v>2</v>
      </c>
      <c r="F107" s="33" t="n">
        <v>99.95999999999999</v>
      </c>
      <c r="G107" s="34" t="n">
        <v>0.3612</v>
      </c>
      <c r="H107" s="35" t="n">
        <v>1.812</v>
      </c>
      <c r="I107" s="32" t="n">
        <v>909.46</v>
      </c>
      <c r="J107" s="32" t="n">
        <v>688.78</v>
      </c>
      <c r="K107" t="inlineStr">
        <is>
          <t>2026-10-09 12:18:10+00:00</t>
        </is>
      </c>
    </row>
    <row r="108">
      <c r="A108" s="30" t="inlineStr">
        <is>
          <t>12:18:25</t>
        </is>
      </c>
      <c r="B108" s="31" t="n">
        <v>15</v>
      </c>
      <c r="C108" s="32" t="n">
        <v>4872.32</v>
      </c>
      <c r="D108" s="32" t="n">
        <v>6000</v>
      </c>
      <c r="E108" s="32" t="n">
        <v>1.5</v>
      </c>
      <c r="F108" s="33" t="n">
        <v>99.97</v>
      </c>
      <c r="G108" s="34" t="n">
        <v>0.3552</v>
      </c>
      <c r="H108" s="35" t="n">
        <v>1.644</v>
      </c>
      <c r="I108" s="32" t="n">
        <v>909.05</v>
      </c>
      <c r="J108" s="32" t="n">
        <v>686.88</v>
      </c>
      <c r="K108" t="inlineStr">
        <is>
          <t>2026-10-09 12:18:25+00:00</t>
        </is>
      </c>
    </row>
    <row r="109">
      <c r="A109" s="30" t="inlineStr">
        <is>
          <t>12:18:40</t>
        </is>
      </c>
      <c r="B109" s="31" t="n">
        <v>15</v>
      </c>
      <c r="C109" s="32" t="n">
        <v>4417.06</v>
      </c>
      <c r="D109" s="32" t="n">
        <v>6000</v>
      </c>
      <c r="E109" s="32" t="n">
        <v>0.91</v>
      </c>
      <c r="F109" s="33" t="n">
        <v>99.98</v>
      </c>
      <c r="G109" s="34" t="n">
        <v>0.3485</v>
      </c>
      <c r="H109" s="35" t="n">
        <v>1.618</v>
      </c>
      <c r="I109" s="32" t="n">
        <v>891.61</v>
      </c>
      <c r="J109" s="32" t="n">
        <v>667.3200000000001</v>
      </c>
      <c r="K109" t="inlineStr">
        <is>
          <t>2026-10-09 12:18:40+00:00</t>
        </is>
      </c>
    </row>
    <row r="110">
      <c r="A110" s="30" t="inlineStr">
        <is>
          <t>12:18:55</t>
        </is>
      </c>
      <c r="B110" s="31" t="n">
        <v>13</v>
      </c>
      <c r="C110" s="32" t="n">
        <v>3997.71</v>
      </c>
      <c r="D110" s="32" t="n">
        <v>6000</v>
      </c>
      <c r="E110" s="32" t="n">
        <v>3.49</v>
      </c>
      <c r="F110" s="33" t="n">
        <v>99.91</v>
      </c>
      <c r="G110" s="34" t="n">
        <v>0.3879</v>
      </c>
      <c r="H110" s="35" t="n">
        <v>1.483</v>
      </c>
      <c r="I110" s="32" t="n">
        <v>869.05</v>
      </c>
      <c r="J110" s="32" t="n">
        <v>649</v>
      </c>
      <c r="K110" t="inlineStr">
        <is>
          <t>2026-10-09 12:18:55+00:00</t>
        </is>
      </c>
    </row>
    <row r="111">
      <c r="A111" s="30" t="inlineStr">
        <is>
          <t>12:19:10</t>
        </is>
      </c>
      <c r="B111" s="31" t="n">
        <v>13</v>
      </c>
      <c r="C111" s="32" t="n">
        <v>3755.49</v>
      </c>
      <c r="D111" s="32" t="n">
        <v>6000</v>
      </c>
      <c r="E111" s="32" t="n">
        <v>3.53</v>
      </c>
      <c r="F111" s="33" t="n">
        <v>99.91</v>
      </c>
      <c r="G111" s="34" t="n">
        <v>0.4145</v>
      </c>
      <c r="H111" s="35" t="n">
        <v>1.677</v>
      </c>
      <c r="I111" s="32" t="n">
        <v>825.3</v>
      </c>
      <c r="J111" s="32" t="n">
        <v>610.54</v>
      </c>
      <c r="K111" t="inlineStr">
        <is>
          <t>2026-10-09 12:19:10+00:00</t>
        </is>
      </c>
    </row>
    <row r="112">
      <c r="A112" s="30" t="inlineStr">
        <is>
          <t>12:19:25</t>
        </is>
      </c>
      <c r="B112" s="31" t="n">
        <v>13</v>
      </c>
      <c r="C112" s="32" t="n">
        <v>3846.53</v>
      </c>
      <c r="D112" s="32" t="n">
        <v>6000</v>
      </c>
      <c r="E112" s="32" t="n">
        <v>3.4</v>
      </c>
      <c r="F112" s="33" t="n">
        <v>99.91</v>
      </c>
      <c r="G112" s="34" t="n">
        <v>0.4034</v>
      </c>
      <c r="H112" s="35" t="n">
        <v>1.575</v>
      </c>
      <c r="I112" s="32" t="n">
        <v>820.8200000000001</v>
      </c>
      <c r="J112" s="32" t="n">
        <v>603</v>
      </c>
      <c r="K112" t="inlineStr">
        <is>
          <t>2026-10-09 12:19:25+00:00</t>
        </is>
      </c>
    </row>
    <row r="113">
      <c r="A113" s="30" t="inlineStr">
        <is>
          <t>12:19:40</t>
        </is>
      </c>
      <c r="B113" s="31" t="n">
        <v>13</v>
      </c>
      <c r="C113" s="32" t="n">
        <v>3936.82</v>
      </c>
      <c r="D113" s="32" t="n">
        <v>4000</v>
      </c>
      <c r="E113" s="32" t="n">
        <v>3</v>
      </c>
      <c r="F113" s="33" t="n">
        <v>99.92</v>
      </c>
      <c r="G113" s="34" t="n">
        <v>0.3821</v>
      </c>
      <c r="H113" s="35" t="n">
        <v>1.266</v>
      </c>
      <c r="I113" s="32" t="n">
        <v>818.6900000000001</v>
      </c>
      <c r="J113" s="32" t="n">
        <v>598.64</v>
      </c>
      <c r="K113" t="inlineStr">
        <is>
          <t>2026-10-09 12:19:40+00:00</t>
        </is>
      </c>
    </row>
    <row r="114">
      <c r="A114" s="30" t="inlineStr">
        <is>
          <t>12:19:55</t>
        </is>
      </c>
      <c r="B114" s="31" t="n">
        <v>11</v>
      </c>
      <c r="C114" s="32" t="n">
        <v>3520.66</v>
      </c>
      <c r="D114" s="32" t="n">
        <v>4000</v>
      </c>
      <c r="E114" s="32" t="n">
        <v>4.63</v>
      </c>
      <c r="F114" s="33" t="n">
        <v>99.87</v>
      </c>
      <c r="G114" s="34" t="n">
        <v>0.351</v>
      </c>
      <c r="H114" s="35" t="n">
        <v>1.36</v>
      </c>
      <c r="I114" s="32" t="n">
        <v>729.37</v>
      </c>
      <c r="J114" s="32" t="n">
        <v>525.0700000000001</v>
      </c>
      <c r="K114" t="inlineStr">
        <is>
          <t>2026-10-09 12:19:55+00:00</t>
        </is>
      </c>
    </row>
    <row r="115">
      <c r="A115" s="30" t="inlineStr">
        <is>
          <t>12:20:10</t>
        </is>
      </c>
      <c r="B115" s="31" t="n">
        <v>11</v>
      </c>
      <c r="C115" s="32" t="n">
        <v>3089.47</v>
      </c>
      <c r="D115" s="32" t="n">
        <v>4000</v>
      </c>
      <c r="E115" s="32" t="n">
        <v>6.35</v>
      </c>
      <c r="F115" s="33" t="n">
        <v>99.8</v>
      </c>
      <c r="G115" s="34" t="n">
        <v>0.3482</v>
      </c>
      <c r="H115" s="35" t="n">
        <v>1.379</v>
      </c>
      <c r="I115" s="32" t="n">
        <v>727.48</v>
      </c>
      <c r="J115" s="32" t="n">
        <v>522</v>
      </c>
      <c r="K115" t="inlineStr">
        <is>
          <t>2026-10-09 12:20:10+00:00</t>
        </is>
      </c>
    </row>
    <row r="116">
      <c r="A116" s="30" t="inlineStr">
        <is>
          <t>12:20:25</t>
        </is>
      </c>
      <c r="B116" s="31" t="n">
        <v>11</v>
      </c>
      <c r="C116" s="32" t="n">
        <v>2392.2</v>
      </c>
      <c r="D116" s="32" t="n">
        <v>4000</v>
      </c>
      <c r="E116" s="32" t="n">
        <v>3.53</v>
      </c>
      <c r="F116" s="33" t="n">
        <v>99.84999999999999</v>
      </c>
      <c r="G116" s="34" t="n">
        <v>0.3509</v>
      </c>
      <c r="H116" s="35" t="n">
        <v>1.377</v>
      </c>
      <c r="I116" s="32" t="n">
        <v>686.2</v>
      </c>
      <c r="J116" s="32" t="n">
        <v>484.48</v>
      </c>
      <c r="K116" t="inlineStr">
        <is>
          <t>2026-10-09 12:20:25+00:00</t>
        </is>
      </c>
    </row>
    <row r="117">
      <c r="A117" s="30" t="inlineStr">
        <is>
          <t>12:20:40</t>
        </is>
      </c>
      <c r="B117" s="31" t="n">
        <v>11</v>
      </c>
      <c r="C117" s="32" t="n">
        <v>2437.71</v>
      </c>
      <c r="D117" s="32" t="n">
        <v>4000</v>
      </c>
      <c r="E117" s="32" t="n">
        <v>1.76</v>
      </c>
      <c r="F117" s="33" t="n">
        <v>99.93000000000001</v>
      </c>
      <c r="G117" s="34" t="n">
        <v>0.3997</v>
      </c>
      <c r="H117" s="35" t="n">
        <v>0.748</v>
      </c>
      <c r="I117" s="32" t="n">
        <v>662.05</v>
      </c>
      <c r="J117" s="32" t="n">
        <v>459.59</v>
      </c>
      <c r="K117" t="inlineStr">
        <is>
          <t>2026-10-09 12:20:40+00:00</t>
        </is>
      </c>
    </row>
    <row r="118">
      <c r="A118" s="30" t="inlineStr">
        <is>
          <t>12:20:55</t>
        </is>
      </c>
      <c r="B118" s="31" t="n">
        <v>9</v>
      </c>
      <c r="C118" s="32" t="n">
        <v>2436.91</v>
      </c>
      <c r="D118" s="32" t="n">
        <v>2000</v>
      </c>
      <c r="E118" s="32" t="n">
        <v>1.36</v>
      </c>
      <c r="F118" s="33" t="n">
        <v>99.94</v>
      </c>
      <c r="G118" s="34" t="n">
        <v>0.3883</v>
      </c>
      <c r="H118" s="35" t="n">
        <v>0.8070000000000001</v>
      </c>
      <c r="I118" s="32" t="n">
        <v>634.9299999999999</v>
      </c>
      <c r="J118" s="32" t="n">
        <v>438.55</v>
      </c>
      <c r="K118" t="inlineStr">
        <is>
          <t>2026-10-09 12:20:55+00:00</t>
        </is>
      </c>
    </row>
    <row r="119">
      <c r="A119" s="30" t="inlineStr">
        <is>
          <t>12:21:10</t>
        </is>
      </c>
      <c r="B119" s="31" t="n">
        <v>9</v>
      </c>
      <c r="C119" s="32" t="n">
        <v>2161.92</v>
      </c>
      <c r="D119" s="32" t="n">
        <v>2000</v>
      </c>
      <c r="E119" s="32" t="n">
        <v>2.25</v>
      </c>
      <c r="F119" s="33" t="n">
        <v>99.90000000000001</v>
      </c>
      <c r="G119" s="34" t="n">
        <v>0.383</v>
      </c>
      <c r="H119" s="35" t="n">
        <v>0.6879999999999999</v>
      </c>
      <c r="I119" s="32" t="n">
        <v>635.9400000000001</v>
      </c>
      <c r="J119" s="32" t="n">
        <v>437.7</v>
      </c>
      <c r="K119" t="inlineStr">
        <is>
          <t>2026-10-09 12:21:10+00:00</t>
        </is>
      </c>
    </row>
    <row r="120">
      <c r="A120" s="30" t="inlineStr">
        <is>
          <t>12:21:25</t>
        </is>
      </c>
      <c r="B120" s="31" t="n">
        <v>9</v>
      </c>
      <c r="C120" s="32" t="n">
        <v>1876.93</v>
      </c>
      <c r="D120" s="32" t="n">
        <v>2000</v>
      </c>
      <c r="E120" s="32" t="n">
        <v>3.55</v>
      </c>
      <c r="F120" s="33" t="n">
        <v>99.81</v>
      </c>
      <c r="G120" s="34" t="n">
        <v>0.329</v>
      </c>
      <c r="H120" s="35" t="n">
        <v>1.032</v>
      </c>
      <c r="I120" s="32" t="n">
        <v>554.25</v>
      </c>
      <c r="J120" s="32" t="n">
        <v>373.55</v>
      </c>
      <c r="K120" t="inlineStr">
        <is>
          <t>2026-10-09 12:21:25+00:00</t>
        </is>
      </c>
    </row>
    <row r="121">
      <c r="A121" s="30" t="inlineStr">
        <is>
          <t>12:21:40</t>
        </is>
      </c>
      <c r="B121" s="31" t="n">
        <v>9</v>
      </c>
      <c r="C121" s="32" t="n">
        <v>1443.29</v>
      </c>
      <c r="D121" s="32" t="n">
        <v>2000</v>
      </c>
      <c r="E121" s="32" t="n">
        <v>2.07</v>
      </c>
      <c r="F121" s="33" t="n">
        <v>99.86</v>
      </c>
      <c r="G121" s="34" t="n">
        <v>0.3967</v>
      </c>
      <c r="H121" s="35" t="n">
        <v>1.017</v>
      </c>
      <c r="I121" s="32" t="n">
        <v>533.84</v>
      </c>
      <c r="J121" s="32" t="n">
        <v>352.71</v>
      </c>
      <c r="K121" t="inlineStr">
        <is>
          <t>2026-10-09 12:21:40+00:00</t>
        </is>
      </c>
    </row>
    <row r="122">
      <c r="A122" s="30" t="inlineStr">
        <is>
          <t>12:21:55</t>
        </is>
      </c>
      <c r="B122" s="31" t="n">
        <v>7</v>
      </c>
      <c r="C122" s="32" t="n">
        <v>1387.31</v>
      </c>
      <c r="D122" s="32" t="n">
        <v>2000</v>
      </c>
      <c r="E122" s="32" t="n">
        <v>1.04</v>
      </c>
      <c r="F122" s="33" t="n">
        <v>99.92</v>
      </c>
      <c r="G122" s="34" t="n">
        <v>0.4077</v>
      </c>
      <c r="H122" s="35" t="n">
        <v>0.659</v>
      </c>
      <c r="I122" s="32" t="n">
        <v>519.25</v>
      </c>
      <c r="J122" s="32" t="n">
        <v>337.77</v>
      </c>
      <c r="K122" t="inlineStr">
        <is>
          <t>2026-10-09 12:21:55+00:00</t>
        </is>
      </c>
    </row>
    <row r="123">
      <c r="A123" s="30" t="inlineStr">
        <is>
          <t>12:22:10</t>
        </is>
      </c>
      <c r="B123" s="31" t="n">
        <v>7</v>
      </c>
      <c r="C123" s="32" t="n">
        <v>1334.04</v>
      </c>
      <c r="D123" s="32" t="n">
        <v>2000</v>
      </c>
      <c r="E123" s="32" t="n">
        <v>0.33</v>
      </c>
      <c r="F123" s="33" t="n">
        <v>99.98</v>
      </c>
      <c r="G123" s="34" t="n">
        <v>0.4003</v>
      </c>
      <c r="H123" s="35" t="n">
        <v>0.36</v>
      </c>
      <c r="I123" s="32" t="n">
        <v>464.38</v>
      </c>
      <c r="J123" s="32" t="n">
        <v>295.64</v>
      </c>
      <c r="K123" t="inlineStr">
        <is>
          <t>2026-10-09 12:22:10+00:00</t>
        </is>
      </c>
    </row>
    <row r="124">
      <c r="A124" s="30" t="inlineStr">
        <is>
          <t>12:22:25</t>
        </is>
      </c>
      <c r="B124" s="31" t="n">
        <v>7</v>
      </c>
      <c r="C124" s="32" t="n">
        <v>1151.26</v>
      </c>
      <c r="D124" s="32" t="n">
        <v>2000</v>
      </c>
      <c r="E124" s="32" t="n">
        <v>0.75</v>
      </c>
      <c r="F124" s="33" t="n">
        <v>99.93000000000001</v>
      </c>
      <c r="G124" s="34" t="n">
        <v>0.3533</v>
      </c>
      <c r="H124" s="35" t="n">
        <v>0.374</v>
      </c>
      <c r="I124" s="32" t="n">
        <v>424.62</v>
      </c>
      <c r="J124" s="32" t="n">
        <v>264.58</v>
      </c>
      <c r="K124" t="inlineStr">
        <is>
          <t>2026-10-09 12:22:25+00:00</t>
        </is>
      </c>
    </row>
    <row r="125">
      <c r="A125" s="30" t="inlineStr">
        <is>
          <t>12:22:40</t>
        </is>
      </c>
      <c r="B125" s="31" t="n">
        <v>7</v>
      </c>
      <c r="C125" s="32" t="n">
        <v>1111.36</v>
      </c>
      <c r="D125" s="32" t="n">
        <v>2000</v>
      </c>
      <c r="E125" s="32" t="n">
        <v>1.32</v>
      </c>
      <c r="F125" s="33" t="n">
        <v>99.88</v>
      </c>
      <c r="G125" s="34" t="n">
        <v>0.3875</v>
      </c>
      <c r="H125" s="35" t="n">
        <v>0.306</v>
      </c>
      <c r="I125" s="32" t="n">
        <v>394.55</v>
      </c>
      <c r="J125" s="32" t="n">
        <v>244.93</v>
      </c>
      <c r="K125" t="inlineStr">
        <is>
          <t>2026-10-09 12:22:40+00:00</t>
        </is>
      </c>
    </row>
    <row r="126">
      <c r="A126" s="30" t="inlineStr">
        <is>
          <t>12:22:55</t>
        </is>
      </c>
      <c r="B126" s="31" t="n">
        <v>4</v>
      </c>
      <c r="C126" s="32" t="n">
        <v>966.51</v>
      </c>
      <c r="D126" s="32" t="n">
        <v>2000</v>
      </c>
      <c r="E126" s="32" t="n">
        <v>0.93</v>
      </c>
      <c r="F126" s="33" t="n">
        <v>99.90000000000001</v>
      </c>
      <c r="G126" s="34" t="n">
        <v>0.4481</v>
      </c>
      <c r="H126" s="35" t="n">
        <v>0.505</v>
      </c>
      <c r="I126" s="32" t="n">
        <v>362.22</v>
      </c>
      <c r="J126" s="32" t="n">
        <v>211.75</v>
      </c>
      <c r="K126" t="inlineStr">
        <is>
          <t>2026-10-09 12:22:55+00:00</t>
        </is>
      </c>
    </row>
    <row r="127">
      <c r="A127" s="30" t="inlineStr">
        <is>
          <t>12:23:10</t>
        </is>
      </c>
      <c r="B127" s="31" t="n">
        <v>4</v>
      </c>
      <c r="C127" s="32" t="n">
        <v>912.13</v>
      </c>
      <c r="D127" s="32" t="n">
        <v>2000</v>
      </c>
      <c r="E127" s="32" t="n">
        <v>0.53</v>
      </c>
      <c r="F127" s="33" t="n">
        <v>99.94</v>
      </c>
      <c r="G127" s="34" t="n">
        <v>0.4494</v>
      </c>
      <c r="H127" s="35" t="n">
        <v>0.431</v>
      </c>
      <c r="I127" s="32" t="n">
        <v>357.61</v>
      </c>
      <c r="J127" s="32" t="n">
        <v>207.14</v>
      </c>
      <c r="K127" t="inlineStr">
        <is>
          <t>2026-10-09 12:23:10+00:00</t>
        </is>
      </c>
    </row>
    <row r="128">
      <c r="A128" s="30" t="inlineStr">
        <is>
          <t>12:23:25</t>
        </is>
      </c>
      <c r="B128" s="31" t="n">
        <v>4</v>
      </c>
      <c r="C128" s="32" t="n">
        <v>770.02</v>
      </c>
      <c r="D128" s="32" t="n">
        <v>2000</v>
      </c>
      <c r="E128" s="32" t="n">
        <v>0.71</v>
      </c>
      <c r="F128" s="33" t="n">
        <v>99.91</v>
      </c>
      <c r="G128" s="34" t="n">
        <v>0.4302</v>
      </c>
      <c r="H128" s="35" t="n">
        <v>0.206</v>
      </c>
      <c r="I128" s="32" t="n">
        <v>300.68</v>
      </c>
      <c r="J128" s="32" t="n">
        <v>174.38</v>
      </c>
      <c r="K128" t="inlineStr">
        <is>
          <t>2026-10-09 12:23:25+00:00</t>
        </is>
      </c>
    </row>
    <row r="129">
      <c r="A129" s="30" t="inlineStr">
        <is>
          <t>12:23:40</t>
        </is>
      </c>
      <c r="B129" s="31" t="n">
        <v>4</v>
      </c>
      <c r="C129" s="32" t="n">
        <v>586.45</v>
      </c>
      <c r="D129" s="32" t="n">
        <v>2000</v>
      </c>
      <c r="E129" s="32" t="n">
        <v>2.81</v>
      </c>
      <c r="F129" s="33" t="n">
        <v>99.52</v>
      </c>
      <c r="G129" s="34" t="n">
        <v>0.297</v>
      </c>
      <c r="H129" s="35" t="n">
        <v>0.236</v>
      </c>
      <c r="I129" s="32" t="n">
        <v>277.58</v>
      </c>
      <c r="J129" s="32" t="n">
        <v>151.29</v>
      </c>
      <c r="K129" t="inlineStr">
        <is>
          <t>2026-10-09 12:23:40+00:00</t>
        </is>
      </c>
    </row>
    <row r="130">
      <c r="A130" s="30" t="inlineStr">
        <is>
          <t>12:23:55</t>
        </is>
      </c>
      <c r="B130" s="31" t="n">
        <v>3</v>
      </c>
      <c r="C130" s="32" t="n">
        <v>807.74</v>
      </c>
      <c r="D130" s="32" t="n">
        <v>2000</v>
      </c>
      <c r="E130" s="32" t="n">
        <v>3.33</v>
      </c>
      <c r="F130" s="33" t="n">
        <v>99.59</v>
      </c>
      <c r="G130" s="34" t="n">
        <v>0.2519</v>
      </c>
      <c r="H130" s="35" t="n">
        <v>0.595</v>
      </c>
      <c r="I130" s="32" t="n">
        <v>278.39</v>
      </c>
      <c r="J130" s="32" t="n">
        <v>151.34</v>
      </c>
      <c r="K130" t="inlineStr">
        <is>
          <t>2026-10-09 12:23:55+00:00</t>
        </is>
      </c>
    </row>
    <row r="131">
      <c r="A131" s="30" t="inlineStr">
        <is>
          <t>12:24:10</t>
        </is>
      </c>
      <c r="B131" s="31" t="n">
        <v>3</v>
      </c>
      <c r="C131" s="32" t="n">
        <v>1084.28</v>
      </c>
      <c r="D131" s="32" t="n">
        <v>2000</v>
      </c>
      <c r="E131" s="32" t="n">
        <v>2.65</v>
      </c>
      <c r="F131" s="33" t="n">
        <v>99.76000000000001</v>
      </c>
      <c r="G131" s="34" t="n">
        <v>0.3577</v>
      </c>
      <c r="H131" s="35" t="n">
        <v>0.891</v>
      </c>
      <c r="I131" s="32" t="n">
        <v>278.89</v>
      </c>
      <c r="J131" s="32" t="n">
        <v>151.4</v>
      </c>
      <c r="K131" t="inlineStr">
        <is>
          <t>2026-10-09 12:24:10+00:00</t>
        </is>
      </c>
    </row>
    <row r="132">
      <c r="A132" s="30" t="inlineStr">
        <is>
          <t>12:24:25</t>
        </is>
      </c>
      <c r="B132" s="31" t="n">
        <v>3</v>
      </c>
      <c r="C132" s="32" t="n">
        <v>1325.47</v>
      </c>
      <c r="D132" s="32" t="n">
        <v>2000</v>
      </c>
      <c r="E132" s="32" t="n">
        <v>0.92</v>
      </c>
      <c r="F132" s="33" t="n">
        <v>99.93000000000001</v>
      </c>
      <c r="G132" s="34" t="n">
        <v>0.37</v>
      </c>
      <c r="H132" s="35" t="n">
        <v>0.713</v>
      </c>
      <c r="I132" s="32" t="n">
        <v>279.67</v>
      </c>
      <c r="J132" s="32" t="n">
        <v>150.92</v>
      </c>
      <c r="K132" t="inlineStr">
        <is>
          <t>2026-10-09 12:24:25+00:00</t>
        </is>
      </c>
    </row>
    <row r="133">
      <c r="A133" s="30" t="inlineStr">
        <is>
          <t>12:24:40</t>
        </is>
      </c>
      <c r="B133" s="31" t="n">
        <v>3</v>
      </c>
      <c r="C133" s="32" t="n">
        <v>1337.31</v>
      </c>
      <c r="D133" s="32" t="n">
        <v>2000</v>
      </c>
      <c r="E133" s="32" t="n">
        <v>0.27</v>
      </c>
      <c r="F133" s="33" t="n">
        <v>99.98</v>
      </c>
      <c r="G133" s="34" t="n">
        <v>0.2954</v>
      </c>
      <c r="H133" s="35" t="n">
        <v>0.5629999999999999</v>
      </c>
      <c r="I133" s="32" t="n">
        <v>279.55</v>
      </c>
      <c r="J133" s="32" t="n">
        <v>150.8</v>
      </c>
      <c r="K133" t="inlineStr">
        <is>
          <t>2026-10-09 12:24:40+00:00</t>
        </is>
      </c>
    </row>
    <row r="134">
      <c r="A134" s="30" t="inlineStr">
        <is>
          <t>12:24:55</t>
        </is>
      </c>
      <c r="B134" s="31" t="n">
        <v>4</v>
      </c>
      <c r="C134" s="32" t="n">
        <v>1277.6</v>
      </c>
      <c r="D134" s="32" t="n">
        <v>2000</v>
      </c>
      <c r="E134" s="32" t="n">
        <v>2.71</v>
      </c>
      <c r="F134" s="33" t="n">
        <v>99.79000000000001</v>
      </c>
      <c r="G134" s="34" t="n">
        <v>0.297</v>
      </c>
      <c r="H134" s="35" t="n">
        <v>0.488</v>
      </c>
      <c r="I134" s="32" t="n">
        <v>280.52</v>
      </c>
      <c r="J134" s="32" t="n">
        <v>150.93</v>
      </c>
      <c r="K134" t="inlineStr">
        <is>
          <t>2026-10-09 12:24:55+00:00</t>
        </is>
      </c>
    </row>
    <row r="135">
      <c r="A135" s="30" t="inlineStr">
        <is>
          <t>12:25:10</t>
        </is>
      </c>
      <c r="B135" s="31" t="n">
        <v>4</v>
      </c>
      <c r="C135" s="32" t="n">
        <v>1571.16</v>
      </c>
      <c r="D135" s="32" t="n">
        <v>2000</v>
      </c>
      <c r="E135" s="32" t="n">
        <v>11.94</v>
      </c>
      <c r="F135" s="33" t="n">
        <v>99.25</v>
      </c>
      <c r="G135" s="34" t="n">
        <v>0.329</v>
      </c>
      <c r="H135" s="35" t="n">
        <v>1.102</v>
      </c>
      <c r="I135" s="32" t="n">
        <v>331.73</v>
      </c>
      <c r="J135" s="32" t="n">
        <v>200.35</v>
      </c>
      <c r="K135" t="inlineStr">
        <is>
          <t>2026-10-09 12:25:10+00:00</t>
        </is>
      </c>
    </row>
    <row r="136">
      <c r="A136" s="30" t="inlineStr">
        <is>
          <t>12:25:25</t>
        </is>
      </c>
      <c r="B136" s="31" t="n">
        <v>4</v>
      </c>
      <c r="C136" s="32" t="n">
        <v>1911.45</v>
      </c>
      <c r="D136" s="32" t="n">
        <v>2000</v>
      </c>
      <c r="E136" s="32" t="n">
        <v>10.89</v>
      </c>
      <c r="F136" s="33" t="n">
        <v>99.43000000000001</v>
      </c>
      <c r="G136" s="34" t="n">
        <v>0.3647</v>
      </c>
      <c r="H136" s="35" t="n">
        <v>1.766</v>
      </c>
      <c r="I136" s="32" t="n">
        <v>334.18</v>
      </c>
      <c r="J136" s="32" t="n">
        <v>202.44</v>
      </c>
      <c r="K136" t="inlineStr">
        <is>
          <t>2026-10-09 12:25:25+00:00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2026-10-09T12:51:57Z</dcterms:created>
  <dcterms:modified xmlns:dcterms="http://purl.org/dc/terms/" xmlns:xsi="http://www.w3.org/2001/XMLSchema-instance" xsi:type="dcterms:W3CDTF">2026-10-09T12:51:57Z</dcterms:modified>
</cp:coreProperties>
</file>